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mobilier" sheetId="7" state="visible" r:id="rId9"/>
    <sheet name="etat_sol" sheetId="8" state="visible" r:id="rId10"/>
    <sheet name="exposition" sheetId="9" state="visible" r:id="rId11"/>
    <sheet name="frequence_assise" sheetId="10" state="visible" r:id="rId12"/>
    <sheet name="frequence_obstacle" sheetId="11" state="visible" r:id="rId13"/>
    <sheet name="label_psh" sheetId="12" state="visible" r:id="rId14"/>
    <sheet name="label_service" sheetId="13" state="visible" r:id="rId15"/>
    <sheet name="localisation_stationnement" sheetId="14" state="visible" r:id="rId16"/>
    <sheet name="mode_perception" sheetId="15" state="visible" r:id="rId17"/>
    <sheet name="pente" sheetId="16" state="visible" r:id="rId18"/>
    <sheet name="reperabilite" sheetId="17" state="visible" r:id="rId19"/>
    <sheet name="presence_personnel" sheetId="18" state="visible" r:id="rId20"/>
    <sheet name="systeme_guidage" sheetId="19" state="visible" r:id="rId21"/>
    <sheet name="type_cheminement" sheetId="20" state="visible" r:id="rId22"/>
    <sheet name="type_local" sheetId="21" state="visible" r:id="rId23"/>
    <sheet name="type_mobilier" sheetId="22" state="visible" r:id="rId24"/>
    <sheet name="type_obstacle" sheetId="23" state="visible" r:id="rId25"/>
    <sheet name="type_securite" sheetId="24" state="visible" r:id="rId26"/>
    <sheet name="type_service" sheetId="25" state="visible" r:id="rId27"/>
    <sheet name="type_signaletique" sheetId="26" state="visible" r:id="rId28"/>
    <sheet name="type_sol" sheetId="27" state="visible" r:id="rId29"/>
    <sheet name="type_support" sheetId="28" state="visible" r:id="rId30"/>
    <sheet name="type_tc" sheetId="29" state="visible" r:id="rId31"/>
    <sheet name="type_troncon" sheetId="30" state="visible" r:id="rId32"/>
  </sheets>
  <definedNames>
    <definedName function="false" hidden="false" localSheetId="2" name="Print_Area" vbProcedure="false">aide_psh!$A$1:$A$4</definedName>
    <definedName function="false" hidden="false" localSheetId="9" name="Print_Area" vbProcedure="false">frequence_assise!$A$1:$A$5</definedName>
    <definedName function="false" hidden="false" localSheetId="17" name="Print_Area" vbProcedure="false">presence_personnel!$A$1:$A$4</definedName>
    <definedName function="false" hidden="false" localSheetId="20" name="Print_Area" vbProcedure="false">type_local!$A$1:$A$5</definedName>
    <definedName function="false" hidden="false" localSheetId="21" name="Print_Area" vbProcedure="false">type_mobilier!$A$1</definedName>
    <definedName function="false" hidden="false" localSheetId="28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<sst xmlns="http://schemas.openxmlformats.org/spreadsheetml/2006/main" count="1475" uniqueCount="668">
  <si>
    <t xml:space="preserve">Classe</t>
  </si>
  <si>
    <t xml:space="preserve">Attribut</t>
  </si>
  <si>
    <t xml:space="preserve">Type</t>
  </si>
  <si>
    <t xml:space="preserve">Attributs à valeurs multiples</t>
  </si>
  <si>
    <t xml:space="preserve">Titre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</si>
  <si>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</si>
  <si>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</si>
  <si>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</si>
  <si>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</si>
  <si>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</si>
  <si>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Name</t>
  </si>
  <si>
    <t xml:space="preserve">Format</t>
  </si>
  <si>
    <t xml:space="preserve">Obliga</t>
  </si>
  <si>
    <t xml:space="preserve">Enum</t>
  </si>
  <si>
    <t xml:space="preserve">Liste</t>
  </si>
  <si>
    <t xml:space="preserve">Multiple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</si>
  <si>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</si>
  <si>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</si>
  <si>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</si>
  <si>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</si>
  <si>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</si>
  <si>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</si>
  <si>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</si>
  <si>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</si>
  <si>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du cheminement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</si>
  <si>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</si>
  <si>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</si>
  <si>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</si>
  <si>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</si>
  <si>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</si>
  <si>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</si>
  <si>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</si>
  <si>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</si>
  <si>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</si>
  <si>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</si>
  <si>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</si>
  <si>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OSM</t>
  </si>
  <si>
    <t xml:space="preserve">Identifiant de la relation OSM correspondante</t>
  </si>
  <si>
    <t xml:space="preserve">id_espace_nat_protege</t>
  </si>
  <si>
    <t xml:space="preserve">Identifiant de l’espace naturel protégé</t>
  </si>
  <si>
    <t xml:space="preserve">Identifiant de l’espace naturel protégé dans le standard CNIG espaces naturels protégés</t>
  </si>
  <si>
    <t xml:space="preserve">EN7845</t>
  </si>
  <si>
    <t xml:space="preserve">pdipr_inscription</t>
  </si>
  <si>
    <t xml:space="preserve">booléen</t>
  </si>
  <si>
    <t xml:space="preserve">Inscription au PDIPR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</si>
  <si>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</si>
  <si>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</si>
  <si>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</si>
  <si>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</si>
  <si>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</si>
  <si>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</si>
  <si>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</si>
  <si>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</si>
  <si>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</si>
  <si>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</si>
  <si>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</si>
  <si>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</si>
  <si>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</si>
  <si>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</si>
  <si>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</si>
  <si>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</si>
  <si>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</si>
  <si>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</si>
  <si>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</si>
  <si>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</si>
  <si>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</si>
  <si>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</si>
  <si>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</si>
  <si>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</si>
  <si>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</si>
  <si>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</si>
  <si>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</si>
  <si>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</si>
  <si>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</si>
  <si>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GPS du point de départ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</si>
  <si>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</si>
  <si>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</si>
  <si>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</si>
  <si>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</si>
  <si>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prise de vue aérienne d’ensemble du cheminement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</si>
  <si>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</si>
  <si>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</si>
  <si>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</si>
  <si>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</si>
  <si>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</si>
  <si>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</si>
  <si>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</si>
  <si>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</t>
  </si>
  <si>
    <t xml:space="preserve">codes INSEE des communes traversées par l'itinéraire</t>
  </si>
  <si>
    <t xml:space="preserve">presentation</t>
  </si>
  <si>
    <t xml:space="preserve">présentation et description générale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</si>
  <si>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</si>
  <si>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</si>
  <si>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</si>
  <si>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</si>
  <si>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</t>
  </si>
  <si>
    <t xml:space="preserve">description détaillée (pas à pas) du tracé du cheminement</t>
  </si>
  <si>
    <t xml:space="preserve">L’itinéraire permet de découvrir en profondeur le Bois du mystère et les sables mouvants légendaires
</t>
  </si>
  <si>
    <t xml:space="preserve">themes</t>
  </si>
  <si>
    <t xml:space="preserve">thèmes ou mots-clefs</t>
  </si>
  <si>
    <t xml:space="preserve">thèmes ou mots-clefs caractérisant le cheminement</t>
  </si>
  <si>
    <t xml:space="preserve">marais, tourbe, végétation, pêche traditionnelle</t>
  </si>
  <si>
    <t xml:space="preserve">environnement</t>
  </si>
  <si>
    <t xml:space="preserve">composantes de l’environnement naturel</t>
  </si>
  <si>
    <t xml:space="preserve">description des principales composantes de l’environnement naturel</t>
  </si>
  <si>
    <t xml:space="preserve">forêt|zone humide</t>
  </si>
  <si>
    <t xml:space="preserve">comm_accessibilite</t>
  </si>
  <si>
    <t xml:space="preserve">informations complémentaires sur l'accessibilité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</si>
  <si>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</si>
  <si>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</si>
  <si>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</si>
  <si>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</si>
  <si>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</si>
  <si>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fil_ariane</t>
  </si>
  <si>
    <t xml:space="preserve">présence d’un fil d’Ariane</t>
  </si>
  <si>
    <t xml:space="preserve">présence d’un fil d’Ariane tout au long du cheminement</t>
  </si>
  <si>
    <t xml:space="preserve">saisonnalite</t>
  </si>
  <si>
    <t xml:space="preserve">présence d’obstacles saisonniers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</si>
  <si>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</si>
  <si>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</si>
  <si>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</si>
  <si>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photos représentatives du cheminement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</si>
  <si>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</si>
  <si>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</si>
  <si>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</si>
  <si>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</si>
  <si>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fiche web du cheminement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</si>
  <si>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</si>
  <si>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</si>
  <si>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</si>
  <si>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altitude max par rapport au niveau de la mer</t>
  </si>
  <si>
    <t xml:space="preserve">hauteur du parcours la plus élevée (altitude max) par rapport au niveau de la mer</t>
  </si>
  <si>
    <t xml:space="preserve">exposition</t>
  </si>
  <si>
    <t xml:space="preserve">exposition géographique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</si>
  <si>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</si>
  <si>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</si>
  <si>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</si>
  <si>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d'accessibilité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</si>
  <si>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</si>
  <si>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</si>
  <si>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</si>
  <si>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</si>
  <si>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</t>
  </si>
  <si>
    <t xml:space="preserve">largeur minimale du cheminement libre de mobilier ou autre obstacle (en mètre)</t>
  </si>
  <si>
    <t xml:space="preserve">pente_max</t>
  </si>
  <si>
    <t xml:space="preserve">string</t>
  </si>
  <si>
    <t xml:space="preserve">pente du terrain la plus défavorable</t>
  </si>
  <si>
    <t xml:space="preserve">pente</t>
  </si>
  <si>
    <t xml:space="preserve">faible</t>
  </si>
  <si>
    <t xml:space="preserve">devers_max</t>
  </si>
  <si>
    <t xml:space="preserve">dévers le plus défavorable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</si>
  <si>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</si>
  <si>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</si>
  <si>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</si>
  <si>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</si>
  <si>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</t>
  </si>
  <si>
    <t xml:space="preserve">somme de toutes les montées du parcours (en mètre)</t>
  </si>
  <si>
    <t xml:space="preserve">profil_altimétrique</t>
  </si>
  <si>
    <t xml:space="preserve">profil de l'itinéraire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</si>
  <si>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</si>
  <si>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</si>
  <si>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</si>
  <si>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</si>
  <si>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</si>
  <si>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</si>
  <si>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</si>
  <si>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</si>
  <si>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</si>
  <si>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</si>
  <si>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</si>
  <si>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</si>
  <si>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de systèmes de 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</si>
  <si>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</si>
  <si>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</si>
  <si>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</si>
  <si>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</si>
  <si>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</si>
  <si>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</si>
  <si>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</si>
  <si>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</si>
  <si>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</si>
  <si>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</si>
  <si>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</si>
  <si>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</si>
  <si>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</si>
  <si>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</si>
  <si>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</si>
  <si>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</si>
  <si>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</si>
  <si>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</si>
  <si>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</si>
  <si>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</si>
  <si>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desserte_cyclable</t>
  </si>
  <si>
    <t xml:space="preserve">desserte du site naturel par une piste cyclable en site propre</t>
  </si>
  <si>
    <t xml:space="preserve">non</t>
  </si>
  <si>
    <t xml:space="preserve">type_sol_liaison</t>
  </si>
  <si>
    <t xml:space="preserve">types de sol majoritaire de la liaison</t>
  </si>
  <si>
    <t xml:space="preserve">gravier fin et compact</t>
  </si>
  <si>
    <t xml:space="preserve">longueur_liaison</t>
  </si>
  <si>
    <t xml:space="preserve">longueur de la liaison</t>
  </si>
  <si>
    <t xml:space="preserve">longueur de la liaison (en m)</t>
  </si>
  <si>
    <t xml:space="preserve">largeur_min_liaison</t>
  </si>
  <si>
    <t xml:space="preserve">largeur minimale de la liaison</t>
  </si>
  <si>
    <t xml:space="preserve">largeur minimale de la liaison libre de mobilier ou obstacle (en m)</t>
  </si>
  <si>
    <t xml:space="preserve">pente_max_liaison</t>
  </si>
  <si>
    <t xml:space="preserve">pente maximal de la liaison</t>
  </si>
  <si>
    <t xml:space="preserve">pente maximale de la liaison</t>
  </si>
  <si>
    <t xml:space="preserve">inexistant</t>
  </si>
  <si>
    <t xml:space="preserve">devers_max_liaison</t>
  </si>
  <si>
    <t xml:space="preserve">dévers le plus défavorable de la 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</si>
  <si>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</si>
  <si>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</si>
  <si>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sur la liaison</t>
  </si>
  <si>
    <t xml:space="preserve">repère linéaire continu au sol et/ou aérien sur la liaison</t>
  </si>
  <si>
    <t xml:space="preserve">date_creation</t>
  </si>
  <si>
    <t xml:space="preserve">date de création du cheminement</t>
  </si>
  <si>
    <t xml:space="preserve">date de création des renseignements du cheminement</t>
  </si>
  <si>
    <t xml:space="preserve">date_actualisation</t>
  </si>
  <si>
    <t xml:space="preserve">date de modification du cheminement</t>
  </si>
  <si>
    <t xml:space="preserve">date de modification des renseignements du cheminement</t>
  </si>
  <si>
    <t xml:space="preserve">producteur</t>
  </si>
  <si>
    <t xml:space="preserve">producteur des renseignements du cheminement</t>
  </si>
  <si>
    <t xml:space="preserve">structure productrice des renseignements du cheminement</t>
  </si>
  <si>
    <t xml:space="preserve">PNR du Perche</t>
  </si>
  <si>
    <t xml:space="preserve">contact</t>
  </si>
  <si>
    <t xml:space="preserve">informations de contact</t>
  </si>
  <si>
    <t xml:space="preserve">informations de contact de la structure productrice du cheminement</t>
  </si>
  <si>
    <t xml:space="preserve">Conseil départemental du Puy-de-Dôme / Direction Environnement
tel : 04 12 34 56 78
mail : contact@puy-de-dome.fr
web  https://www.parcs-naturels-regionaux.fr/.../cd63/contact</t>
  </si>
  <si>
    <t xml:space="preserve">geom_lin</t>
  </si>
  <si>
    <t xml:space="preserve">géométrie linéaire du cheminement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</si>
  <si>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</si>
  <si>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</si>
  <si>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</si>
  <si>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</si>
  <si>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du tronçon</t>
  </si>
  <si>
    <t xml:space="preserve">identifiant unique du tronçon</t>
  </si>
  <si>
    <t xml:space="preserve">44003:TRC:00089:LOC</t>
  </si>
  <si>
    <t xml:space="preserve">identifiant OSM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</si>
  <si>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</si>
  <si>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</si>
  <si>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</si>
  <si>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</si>
  <si>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</t>
  </si>
  <si>
    <t xml:space="preserve">largeur minimale du tronçon libre de tout obstacle (en mètre)</t>
  </si>
  <si>
    <t xml:space="preserve">pente du terrain la plus défavorable dans le sens de circulation (en pourcentage)</t>
  </si>
  <si>
    <t xml:space="preserve">moyenne</t>
  </si>
  <si>
    <t xml:space="preserve">type de sol majoritaire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</si>
  <si>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</si>
  <si>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</si>
  <si>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</si>
  <si>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</si>
  <si>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</si>
  <si>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</si>
  <si>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</si>
  <si>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</si>
  <si>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</t>
  </si>
  <si>
    <t xml:space="preserve">présence d'éléments sécurisants les espaces dangereux sur le tronçon (garde-corps, rambardes…)</t>
  </si>
  <si>
    <t xml:space="preserve">hyperliens vers des photos du tronçon</t>
  </si>
  <si>
    <t xml:space="preserve">hyperliens vers des photos représentatives du tronçon</t>
  </si>
  <si>
    <t xml:space="preserve">géométrie linéaire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</si>
  <si>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</si>
  <si>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</si>
  <si>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</si>
  <si>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de l'obstacle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</si>
  <si>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</si>
  <si>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</si>
  <si>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</si>
  <si>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</si>
  <si>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</si>
  <si>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</si>
  <si>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</si>
  <si>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</si>
  <si>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tableau</t>
  </si>
  <si>
    <t xml:space="preserve">hyperliens vers des photos de l’obstacle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</si>
  <si>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</si>
  <si>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</si>
  <si>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</si>
  <si>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</t>
  </si>
  <si>
    <t xml:space="preserve">fréquence d’obstacle gênant</t>
  </si>
  <si>
    <t xml:space="preserve">obstacle fréquent</t>
  </si>
  <si>
    <t xml:space="preserve">reperabilite_obstacle</t>
  </si>
  <si>
    <t xml:space="preserve">repérabilité de l’obstacle</t>
  </si>
  <si>
    <t xml:space="preserve">obstacle repérable grâce à une signalétique claire</t>
  </si>
  <si>
    <t xml:space="preserve">coord_gps_obstacle</t>
  </si>
  <si>
    <t xml:space="preserve">coordonnées géographiques de l'obstacle</t>
  </si>
  <si>
    <t xml:space="preserve">geom_pct</t>
  </si>
  <si>
    <t xml:space="preserve">géométrie ponctuelle de l'obstacle</t>
  </si>
  <si>
    <t xml:space="preserve">géométrie ponctuelle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</si>
  <si>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</si>
  <si>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</si>
  <si>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</si>
  <si>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de l'arrêt de transport collectif</t>
  </si>
  <si>
    <t xml:space="preserve">identifiant unique de l'arrêt de transport en commun</t>
  </si>
  <si>
    <t xml:space="preserve">44003:ATC:0022:LOC</t>
  </si>
  <si>
    <t xml:space="preserve">nom_arret</t>
  </si>
  <si>
    <t xml:space="preserve">nom de l’arrêt</t>
  </si>
  <si>
    <t xml:space="preserve">nom de l’arrêt de transport en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</si>
  <si>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</si>
  <si>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</si>
  <si>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</si>
  <si>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</si>
  <si>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</si>
  <si>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</si>
  <si>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type de transport en commun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</si>
  <si>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</si>
  <si>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</si>
  <si>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</si>
  <si>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</si>
  <si>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</si>
  <si>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</si>
  <si>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hyperliens vers des photos représentatives de l’arrêt de transport collectif</t>
  </si>
  <si>
    <t xml:space="preserve">géométrie ponctuelle de l’arrêt</t>
  </si>
  <si>
    <t xml:space="preserve">AIRE STATIONNEMENT</t>
  </si>
  <si>
    <t xml:space="preserve">id_aire_stationnement</t>
  </si>
  <si>
    <t xml:space="preserve">identifiant  de l'aire de 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</si>
  <si>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</si>
  <si>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</si>
  <si>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</si>
  <si>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</si>
  <si>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</si>
  <si>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</si>
  <si>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</si>
  <si>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</si>
  <si>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</si>
  <si>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</si>
  <si>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</si>
  <si>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type de sol majoritaire de l'aire de stationnement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</si>
  <si>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</si>
  <si>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</si>
  <si>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</si>
  <si>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</si>
  <si>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</si>
  <si>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</si>
  <si>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de signalisation les stationnements PMR</t>
  </si>
  <si>
    <t xml:space="preserve">présence (oui/non) de signalisation indiquant la spécificité du stationnement</t>
  </si>
  <si>
    <t xml:space="preserve">marquage_sol</t>
  </si>
  <si>
    <t xml:space="preserve">présence de marquage au sol</t>
  </si>
  <si>
    <t xml:space="preserve">présence (oui/non) du marquage au sol : pictogramme et contour de la place</t>
  </si>
  <si>
    <t xml:space="preserve">pente de l’aire de stationnement</t>
  </si>
  <si>
    <t xml:space="preserve">inclinaison du terrain dans le sens longitudinal du stationnement</t>
  </si>
  <si>
    <t xml:space="preserve">minimale</t>
  </si>
  <si>
    <t xml:space="preserve">dévers de l’aire de stationnement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</si>
  <si>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</si>
  <si>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</si>
  <si>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</si>
  <si>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de garage à deux-roues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</si>
  <si>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</si>
  <si>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</si>
  <si>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d’un portique limiteur</t>
  </si>
  <si>
    <t xml:space="preserve">présence (oui/non) d’un portique limiteur</t>
  </si>
  <si>
    <t xml:space="preserve">hyperliens vers des photos de l'aire de stationnemen</t>
  </si>
  <si>
    <t xml:space="preserve">hyperliens vers des photos représentatives de l'aire de stationnemen</t>
  </si>
  <si>
    <t xml:space="preserve">coord_gps_aire</t>
  </si>
  <si>
    <t xml:space="preserve">coordonnées géographiques de l'aire de stationnement</t>
  </si>
  <si>
    <t xml:space="preserve">geom_surf</t>
  </si>
  <si>
    <t xml:space="preserve">géométrie ponctuelle ou surfacique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</si>
  <si>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</si>
  <si>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</si>
  <si>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</si>
  <si>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</si>
  <si>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</si>
  <si>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</si>
  <si>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</si>
  <si>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</si>
  <si>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</si>
  <si>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etat_mobilier</t>
  </si>
  <si>
    <t xml:space="preserve">état du mobilier</t>
  </si>
  <si>
    <t xml:space="preserve">excellent</t>
  </si>
  <si>
    <t xml:space="preserve">hyperliens vers des photos du mobilier </t>
  </si>
  <si>
    <t xml:space="preserve">hyperliens vers des photos représentatives du mobilier</t>
  </si>
  <si>
    <t xml:space="preserve">géométrie ponctuelle du mobilier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</si>
  <si>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</si>
  <si>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</si>
  <si>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</si>
  <si>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</si>
  <si>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44003:SER:0032:LOC</t>
  </si>
  <si>
    <t xml:space="preserve">type_service</t>
  </si>
  <si>
    <t xml:space="preserve">type de service disponible sur le cheminement</t>
  </si>
  <si>
    <t xml:space="preserve">type de services offerts sur le cheminement</t>
  </si>
  <si>
    <t xml:space="preserve">point d’eau|toilettes PMR</t>
  </si>
  <si>
    <t xml:space="preserve">type_local</t>
  </si>
  <si>
    <t xml:space="preserve">type de locaux présents sur le cheminement</t>
  </si>
  <si>
    <t xml:space="preserve">label_service</t>
  </si>
  <si>
    <t xml:space="preserve">labels du service</t>
  </si>
  <si>
    <t xml:space="preserve">éventuels labels attribués au service</t>
  </si>
  <si>
    <t xml:space="preserve">Tourisme &amp; Handicap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</si>
  <si>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</si>
  <si>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</si>
  <si>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</si>
  <si>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</si>
  <si>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</si>
  <si>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aides à la mise à l'eau|joëlette</t>
  </si>
  <si>
    <t xml:space="preserve">commentaire</t>
  </si>
  <si>
    <t xml:space="preserve">commentaire libre sur le service proposé</t>
  </si>
  <si>
    <t xml:space="preserve">3 tiralo et 5 joëlettes disponibles dans la période estivale</t>
  </si>
  <si>
    <t xml:space="preserve">hyperliens vers des photos du service</t>
  </si>
  <si>
    <t xml:space="preserve">hyperliens vers des photos représentatives du service </t>
  </si>
  <si>
    <t xml:space="preserve">géométrie ponctuelle du service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</si>
  <si>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</si>
  <si>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</si>
  <si>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</si>
  <si>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de la signalétique</t>
  </si>
  <si>
    <t xml:space="preserve">identifiant unique de la signalétique</t>
  </si>
  <si>
    <t xml:space="preserve">44003:SIG:0263:LOC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</si>
  <si>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</si>
  <si>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</si>
  <si>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</si>
  <si>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</si>
  <si>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</si>
  <si>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</si>
  <si>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</si>
  <si>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 de la signalétique</t>
  </si>
  <si>
    <t xml:space="preserve">modes de perception : visuel, tactile, sonore…</t>
  </si>
  <si>
    <t xml:space="preserve">hyperliens vers des photos de la signalétique</t>
  </si>
  <si>
    <t xml:space="preserve">hyperliens vers des photos représentatives de la signalétique</t>
  </si>
  <si>
    <t xml:space="preserve">géométrie ponctuelle de la signalétique</t>
  </si>
  <si>
    <t xml:space="preserve">géométrie ponctuelle de la signalétique en projection Lambert93 au format GeoJSON</t>
  </si>
  <si>
    <t xml:space="preserve">Libellé</t>
  </si>
  <si>
    <t xml:space="preserve">RETOUR</t>
  </si>
  <si>
    <t xml:space="preserve">circuit sans point d'intérêt majeur</t>
  </si>
  <si>
    <t xml:space="preserve">découverte pédagogique</t>
  </si>
  <si>
    <t xml:space="preserve">structure à vocation pédagogique (ex : maison de la forêt / centre pédagogique / arboretum / parc animalier )</t>
  </si>
  <si>
    <t xml:space="preserve">parcours sportif</t>
  </si>
  <si>
    <t xml:space="preserve">parcours avec des agrès sportifs / pêche / itinéraires cyclables</t>
  </si>
  <si>
    <t xml:space="preserve">site naturel</t>
  </si>
  <si>
    <t xml:space="preserve">non renseigné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</si>
  <si>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</si>
  <si>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</si>
  <si>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</si>
  <si>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</si>
  <si>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</si>
  <si>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</si>
  <si>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</si>
  <si>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</si>
  <si>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</si>
  <si>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</si>
  <si>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</si>
  <si>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</si>
  <si>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</si>
  <si>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</si>
  <si>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</si>
  <si>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bois</t>
  </si>
  <si>
    <t xml:space="preserve">forêt</t>
  </si>
  <si>
    <t xml:space="preserve">prairie</t>
  </si>
  <si>
    <t xml:space="preserve">littoral</t>
  </si>
  <si>
    <t xml:space="preserve">espace en bord de mer</t>
  </si>
  <si>
    <t xml:space="preserve">plage</t>
  </si>
  <si>
    <t xml:space="preserve">fleuve, rivière, canal</t>
  </si>
  <si>
    <t xml:space="preserve">espace caractérisé par un cours d'eau important, naturel ou aménagé</t>
  </si>
  <si>
    <t xml:space="preserve">zone humide</t>
  </si>
  <si>
    <t xml:space="preserve">lacustre</t>
  </si>
  <si>
    <t xml:space="preserve">espace constitué par un bassin lacustre : lac de plaine, de piémont, de montagne, etc.</t>
  </si>
  <si>
    <t xml:space="preserve">vallée</t>
  </si>
  <si>
    <t xml:space="preserve">territoire allongé, inscrit en creux par rapport aux terrains qui le dominent, et creusé par une rivière, un fleuve ou un glacier</t>
  </si>
  <si>
    <t xml:space="preserve">plaine</t>
  </si>
  <si>
    <t xml:space="preserve">vaste étendue de terrain aux pentes très faibles, y compris les plaines alluviales et les terrasses</t>
  </si>
  <si>
    <t xml:space="preserve">plateau</t>
  </si>
  <si>
    <t xml:space="preserve">relief relativement plane dominant, par des escarpements ou des versants plus ou moins abrupts</t>
  </si>
  <si>
    <t xml:space="preserve">coteau</t>
  </si>
  <si>
    <t xml:space="preserve">petite colline ou versant d'une colline</t>
  </si>
  <si>
    <t xml:space="preserve">montagne</t>
  </si>
  <si>
    <t xml:space="preserve">altitude supérieure à 600 m</t>
  </si>
  <si>
    <t xml:space="preserve">autre relief marqué</t>
  </si>
  <si>
    <t xml:space="preserve">reliefs escarpés ou fortement marqués, sans être en zone de montagne</t>
  </si>
  <si>
    <t xml:space="preserve">rural</t>
  </si>
  <si>
    <t xml:space="preserve">milieu rural</t>
  </si>
  <si>
    <t xml:space="preserve">agricole</t>
  </si>
  <si>
    <t xml:space="preserve">activité agricole, terres arables, prairies, bocages, cultures permanentes, fermes et leurs installations</t>
  </si>
  <si>
    <t xml:space="preserve">bâti et urbanisé</t>
  </si>
  <si>
    <t xml:space="preserve">bâtiments, voirie, surfaces artificiellement recouvertes</t>
  </si>
  <si>
    <t xml:space="preserve">désert, toundra, marin, souterrain, etc.</t>
  </si>
  <si>
    <t xml:space="preserve">bon</t>
  </si>
  <si>
    <t xml:space="preserve">mauvais</t>
  </si>
  <si>
    <t xml:space="preserve">hors service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</si>
  <si>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</si>
  <si>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</si>
  <si>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</si>
  <si>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</si>
  <si>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</si>
  <si>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</si>
  <si>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</si>
  <si>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</si>
  <si>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</si>
  <si>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</si>
  <si>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</si>
  <si>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</si>
  <si>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</si>
  <si>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</si>
  <si>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</si>
  <si>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</si>
  <si>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</si>
  <si>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</si>
  <si>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</si>
  <si>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</si>
  <si>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</si>
  <si>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</si>
  <si>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</si>
  <si>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</si>
  <si>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</si>
  <si>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</si>
  <si>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</si>
  <si>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</si>
  <si>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</si>
  <si>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</si>
  <si>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Handi'spot</t>
  </si>
  <si>
    <t xml:space="preserve">Promenades confort</t>
  </si>
  <si>
    <t xml:space="preserve">Balades à Roulettes</t>
  </si>
  <si>
    <t xml:space="preserve">S3A</t>
  </si>
  <si>
    <t xml:space="preserve">Symbole Accueil, Accompagnement, Accessibilité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</si>
  <si>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</si>
  <si>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</si>
  <si>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</si>
  <si>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</si>
  <si>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</si>
  <si>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</si>
  <si>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‍nulle</t>
  </si>
  <si>
    <t xml:space="preserve">pente inférieure à 1 %</t>
  </si>
  <si>
    <t xml:space="preserve">pente comprise entre 1 et 5 %</t>
  </si>
  <si>
    <t xml:space="preserve">pente comprise entre 5 et 10 %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</si>
  <si>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</si>
  <si>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</si>
  <si>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</si>
  <si>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</si>
  <si>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</si>
  <si>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</si>
  <si>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</si>
  <si>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</si>
  <si>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</si>
  <si>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</si>
  <si>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</si>
  <si>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</si>
  <si>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</si>
  <si>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</si>
  <si>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</si>
  <si>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</si>
  <si>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</si>
  <si>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différents</t>
  </si>
  <si>
    <t xml:space="preserve">labyrinthe, etc</t>
  </si>
  <si>
    <t xml:space="preserve">maison de site</t>
  </si>
  <si>
    <t xml:space="preserve">maison de nature, musée, etc.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</si>
  <si>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</si>
  <si>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</si>
  <si>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</si>
  <si>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</si>
  <si>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</si>
  <si>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</si>
  <si>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</si>
  <si>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</si>
  <si>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</si>
  <si>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</si>
  <si>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</si>
  <si>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</si>
  <si>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</si>
  <si>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</si>
  <si>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</si>
  <si>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</si>
  <si>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</si>
  <si>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</si>
  <si>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</si>
  <si>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</si>
  <si>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</si>
  <si>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</si>
  <si>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</si>
  <si>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rocher, pierre saillante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</si>
  <si>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</si>
  <si>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</si>
  <si>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</si>
  <si>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</si>
  <si>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</si>
  <si>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</si>
  <si>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</si>
  <si>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</si>
  <si>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 ravine ou affaissement</t>
  </si>
  <si>
    <t xml:space="preserve">ressaut</t>
  </si>
  <si>
    <t xml:space="preserve">ornière, trou,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</si>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</sst>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5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E9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E90FF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1E90FF"/>
      <name val="Liberation Sans2"/>
      <family val="0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G104" activePane="bottomRight" state="frozen"/>
      <selection pane="topLeft" activeCell="A1" activeCellId="0" sqref="A1"/>
      <selection pane="topRight" activeCell="G1" activeCellId="0" sqref="G1"/>
      <selection pane="bottomLeft" activeCell="A104" activeCellId="0" sqref="A104"/>
      <selection pane="bottomRight" activeCell="J124" activeCellId="0" sqref="J12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8.76"/>
    <col collapsed="false" customWidth="true" hidden="false" outlineLevel="0" max="6" min="5" style="1" width="90.29"/>
    <col collapsed="false" customWidth="true" hidden="false" outlineLevel="0" max="7" min="7" style="1" width="18.42"/>
    <col collapsed="false" customWidth="true" hidden="false" outlineLevel="0" max="8" min="8" style="1" width="25.42"/>
    <col collapsed="false" customWidth="true" hidden="false" outlineLevel="0" max="9" min="9" style="1" width="21.43"/>
    <col collapsed="false" customWidth="true" hidden="false" outlineLevel="0" max="10" min="10" style="1" width="63.44"/>
    <col collapsed="false" customWidth="true" hidden="false" outlineLevel="0" max="11" min="11" style="2" width="21"/>
    <col collapsed="false" customWidth="true" hidden="false" outlineLevel="0" max="12" min="12" style="1" width="10.29"/>
    <col collapsed="false" customWidth="true" hidden="false" outlineLevel="0" max="13" min="13" style="1" width="12.24"/>
    <col collapsed="false" customWidth="true" hidden="false" outlineLevel="0" max="14" min="14" style="2" width="7.37"/>
    <col collapsed="false" customWidth="true" hidden="false" outlineLevel="0" max="15" min="15" style="2" width="6.72"/>
    <col collapsed="false" customWidth="true" hidden="false" outlineLevel="0" max="16" min="16" style="2" width="17.39"/>
    <col collapsed="false" customWidth="true" hidden="false" outlineLevel="0" max="17" min="17" style="1" width="8.52"/>
    <col collapsed="false" customWidth="true" hidden="false" outlineLevel="0" max="18" min="18" style="1" width="14.57"/>
    <col collapsed="false" customWidth="true" hidden="false" outlineLevel="0" max="19" min="19" style="1" width="16.14"/>
    <col collapsed="false" customWidth="true" hidden="false" outlineLevel="0" max="20" min="20" style="1" width="14"/>
    <col collapsed="false" customWidth="true" hidden="false" outlineLevel="0" max="21" min="21" style="3" width="11.82"/>
    <col collapsed="false" customWidth="true" hidden="false" outlineLevel="0" max="40" min="22" style="1" width="13.71"/>
    <col collapsed="false" customWidth="false" hidden="false" outlineLevel="0" max="16384" min="49" style="1" width="14.42"/>
  </cols>
  <sheetData>
    <row r="1" customFormat="false" ht="12.75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8" t="s">
        <v>2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9" t="s">
        <v>18</v>
      </c>
    </row>
    <row r="2" customFormat="false" ht="12.75" hidden="false" customHeight="true" outlineLevel="0" collapsed="false">
      <c r="A2" s="10" t="s">
        <v>19</v>
      </c>
      <c r="B2" s="10"/>
      <c r="C2" s="11"/>
      <c r="D2" s="11"/>
      <c r="E2" s="10"/>
      <c r="F2" s="11"/>
      <c r="G2" s="12"/>
      <c r="H2" s="12"/>
      <c r="I2" s="13"/>
      <c r="J2" s="12"/>
      <c r="K2" s="14"/>
      <c r="L2" s="11"/>
      <c r="M2" s="11"/>
      <c r="N2" s="15"/>
      <c r="O2" s="14"/>
      <c r="P2" s="15"/>
      <c r="Q2" s="15"/>
      <c r="R2" s="12"/>
      <c r="S2" s="16" t="s">
        <v>20</v>
      </c>
      <c r="T2" s="16" t="s">
        <v>21</v>
      </c>
    </row>
    <row r="3" customFormat="false" ht="12.75" hidden="false" customHeight="true" outlineLevel="0" collapsed="false">
      <c r="A3" s="1" t="s">
        <v>19</v>
      </c>
      <c r="B3" s="17" t="s">
        <v>22</v>
      </c>
      <c r="C3" s="18" t="s">
        <v>23</v>
      </c>
      <c r="D3" s="18"/>
      <c r="E3" s="18" t="s">
        <v>24</v>
      </c>
      <c r="F3" s="18" t="s">
        <v>25</v>
      </c>
      <c r="G3" s="1" t="s">
        <v>26</v>
      </c>
      <c r="H3" s="17"/>
      <c r="I3" s="19"/>
      <c r="J3" s="17" t="s">
        <v>27</v>
      </c>
      <c r="K3" s="20" t="str">
        <f aca="false">B3</f>
        <v>id_cheminement</v>
      </c>
      <c r="L3" s="21" t="str">
        <f aca="false">IF(C3="","",IF(C3="entier","integer",IF(C3="booléen","boolean",IF(C3="geojson","geojson",IF(C3="décimal","number",IF(C3="date","date","string"))))))</f>
        <v>string</v>
      </c>
      <c r="M3" s="21" t="str">
        <f aca="false">IF(LEFT(B3,9)="coord_gps","geopoint",IF(AND(C3="geojson",B3="geom_surf"),"polygon",IF(AND(C3="geojson",B3="geom_pct"),"point",IF(AND(C3="geojson",B3="geom_lin"),"linestring",IF(C3="url","url_pattern",IF(C3="date","%Y-%M-%D",""))))))</f>
        <v/>
      </c>
      <c r="N3" s="2" t="str">
        <f aca="false">IF(G3="","",IF(G3="obligatoire","oui","non"))</f>
        <v>oui</v>
      </c>
      <c r="O3" s="20" t="str">
        <f aca="false">IF(H3="","","oui")</f>
        <v/>
      </c>
      <c r="P3" s="20" t="str">
        <f aca="false">IF(H3="","",H3)</f>
        <v/>
      </c>
      <c r="Q3" s="21" t="str">
        <f aca="false">IF(D3="","","oui")</f>
        <v/>
      </c>
      <c r="R3" s="22" t="s">
        <v>28</v>
      </c>
      <c r="S3" s="22"/>
      <c r="T3" s="22"/>
    </row>
    <row r="4" customFormat="false" ht="12.75" hidden="false" customHeight="true" outlineLevel="0" collapsed="false">
      <c r="A4" s="1" t="s">
        <v>19</v>
      </c>
      <c r="B4" s="1" t="s">
        <v>29</v>
      </c>
      <c r="C4" s="23" t="s">
        <v>30</v>
      </c>
      <c r="D4" s="24"/>
      <c r="E4" s="1" t="s">
        <v>31</v>
      </c>
      <c r="F4" s="1" t="s">
        <v>32</v>
      </c>
      <c r="G4" s="1" t="s">
        <v>33</v>
      </c>
      <c r="I4" s="25"/>
      <c r="J4" s="23" t="n">
        <v>937571</v>
      </c>
      <c r="K4" s="20" t="str">
        <f aca="false">B4</f>
        <v>id_itineraire_rando</v>
      </c>
      <c r="L4" s="21" t="str">
        <f aca="false">IF(C4="","",IF(C4="entier","integer",IF(C4="booléen","boolean",IF(C4="geojson","geojson",IF(C4="décimal","number",IF(C4="date","date","string"))))))</f>
        <v>string</v>
      </c>
      <c r="M4" s="21" t="str">
        <f aca="false">IF(LEFT(B4,9)="coord_gps","geopoint",IF(AND(C4="geojson",B4="geom_surf"),"polygon",IF(AND(C4="geojson",B4="geom_pct"),"point",IF(AND(C4="geojson",B4="geom_lin"),"linestring",IF(C4="url","url_pattern",IF(C4="date","%Y-%M-%D",""))))))</f>
        <v/>
      </c>
      <c r="N4" s="2" t="str">
        <f aca="false">IF(G4="","",IF(G4="obligatoire","oui","non"))</f>
        <v>non</v>
      </c>
      <c r="O4" s="20" t="str">
        <f aca="false">IF(H4="","","oui")</f>
        <v/>
      </c>
      <c r="P4" s="20" t="str">
        <f aca="false">IF(H4="","",H4)</f>
        <v/>
      </c>
      <c r="Q4" s="21" t="str">
        <f aca="false">IF(D4="","","oui")</f>
        <v/>
      </c>
      <c r="R4" s="26"/>
      <c r="S4" s="26"/>
      <c r="T4" s="26"/>
    </row>
    <row r="5" customFormat="false" ht="12.75" hidden="false" customHeight="true" outlineLevel="0" collapsed="false">
      <c r="A5" s="1" t="s">
        <v>19</v>
      </c>
      <c r="B5" s="1" t="s">
        <v>34</v>
      </c>
      <c r="C5" s="23" t="s">
        <v>35</v>
      </c>
      <c r="D5" s="24"/>
      <c r="E5" s="1" t="s">
        <v>36</v>
      </c>
      <c r="F5" s="1" t="s">
        <v>37</v>
      </c>
      <c r="G5" s="1" t="s">
        <v>33</v>
      </c>
      <c r="I5" s="25"/>
      <c r="K5" s="20" t="str">
        <f aca="false">B5</f>
        <v>id_osm</v>
      </c>
      <c r="L5" s="21" t="str">
        <f aca="false">IF(C5="","",IF(C5="entier","integer",IF(C5="booléen","boolean",IF(C5="geojson","geojson",IF(C5="décimal","number",IF(C5="date","date","string"))))))</f>
        <v>integer</v>
      </c>
      <c r="M5" s="21" t="str">
        <f aca="false">IF(LEFT(B5,9)="coord_gps","geopoint",IF(AND(C5="geojson",B5="geom_surf"),"polygon",IF(AND(C5="geojson",B5="geom_pct"),"point",IF(AND(C5="geojson",B5="geom_lin"),"linestring",IF(C5="url","url_pattern",IF(C5="date","%Y-%M-%D",""))))))</f>
        <v/>
      </c>
      <c r="N5" s="2" t="str">
        <f aca="false">IF(G5="","",IF(G5="obligatoire","oui","non"))</f>
        <v>non</v>
      </c>
      <c r="O5" s="20" t="str">
        <f aca="false">IF(H5="","","oui")</f>
        <v/>
      </c>
      <c r="P5" s="20" t="str">
        <f aca="false">IF(H5="","",H5)</f>
        <v/>
      </c>
      <c r="Q5" s="21" t="str">
        <f aca="false">IF(D5="","","oui")</f>
        <v/>
      </c>
      <c r="R5" s="26"/>
      <c r="S5" s="26"/>
      <c r="T5" s="26"/>
    </row>
    <row r="6" customFormat="false" ht="12.75" hidden="false" customHeight="true" outlineLevel="0" collapsed="false">
      <c r="A6" s="1" t="s">
        <v>19</v>
      </c>
      <c r="B6" s="1" t="s">
        <v>38</v>
      </c>
      <c r="C6" s="23" t="s">
        <v>23</v>
      </c>
      <c r="D6" s="24"/>
      <c r="E6" s="1" t="s">
        <v>39</v>
      </c>
      <c r="F6" s="1" t="s">
        <v>40</v>
      </c>
      <c r="G6" s="1" t="s">
        <v>33</v>
      </c>
      <c r="I6" s="25"/>
      <c r="J6" s="27" t="s">
        <v>41</v>
      </c>
      <c r="K6" s="20" t="str">
        <f aca="false">B6</f>
        <v>id_espace_nat_protege</v>
      </c>
      <c r="L6" s="21" t="str">
        <f aca="false">IF(C6="","",IF(C6="entier","integer",IF(C6="booléen","boolean",IF(C6="geojson","geojson",IF(C6="décimal","number",IF(C6="date","date","string"))))))</f>
        <v>string</v>
      </c>
      <c r="M6" s="21" t="str">
        <f aca="false">IF(LEFT(B6,9)="coord_gps","geopoint",IF(AND(C6="geojson",B6="geom_surf"),"polygon",IF(AND(C6="geojson",B6="geom_pct"),"point",IF(AND(C6="geojson",B6="geom_lin"),"linestring",IF(C6="url","url_pattern",IF(C6="date","%Y-%M-%D",""))))))</f>
        <v/>
      </c>
      <c r="N6" s="2" t="str">
        <f aca="false">IF(G6="","",IF(G6="obligatoire","oui","non"))</f>
        <v>non</v>
      </c>
      <c r="O6" s="20" t="str">
        <f aca="false">IF(H6="","","oui")</f>
        <v/>
      </c>
      <c r="P6" s="20" t="str">
        <f aca="false">IF(H6="","",H6)</f>
        <v/>
      </c>
      <c r="Q6" s="21" t="str">
        <f aca="false">IF(D6="","","oui")</f>
        <v/>
      </c>
      <c r="R6" s="26"/>
      <c r="S6" s="26"/>
      <c r="T6" s="26"/>
    </row>
    <row r="7" customFormat="false" ht="12.75" hidden="false" customHeight="true" outlineLevel="0" collapsed="false">
      <c r="A7" s="1" t="s">
        <v>19</v>
      </c>
      <c r="B7" s="1" t="s">
        <v>42</v>
      </c>
      <c r="C7" s="23" t="s">
        <v>43</v>
      </c>
      <c r="D7" s="28"/>
      <c r="E7" s="1" t="s">
        <v>44</v>
      </c>
      <c r="F7" s="1" t="s">
        <v>45</v>
      </c>
      <c r="G7" s="1" t="s">
        <v>33</v>
      </c>
      <c r="H7" s="25"/>
      <c r="I7" s="25"/>
      <c r="J7" s="17" t="s">
        <v>46</v>
      </c>
      <c r="K7" s="20" t="str">
        <f aca="false">B7</f>
        <v>pdipr_inscription</v>
      </c>
      <c r="L7" s="21" t="str">
        <f aca="false">IF(C7="","",IF(C7="entier","integer",IF(C7="booléen","boolean",IF(C7="geojson","geojson",IF(C7="décimal","number",IF(C7="date","date","string"))))))</f>
        <v>boolean</v>
      </c>
      <c r="M7" s="21" t="str">
        <f aca="false">IF(LEFT(B7,9)="coord_gps","geopoint",IF(AND(C7="geojson",B7="geom_surf"),"polygon",IF(AND(C7="geojson",B7="geom_pct"),"point",IF(AND(C7="geojson",B7="geom_lin"),"linestring",IF(C7="url","url_pattern",IF(C7="date","%Y-%M-%D",""))))))</f>
        <v/>
      </c>
      <c r="N7" s="2" t="str">
        <f aca="false">IF(G7="","",IF(G7="obligatoire","oui","non"))</f>
        <v>non</v>
      </c>
      <c r="O7" s="20" t="str">
        <f aca="false">IF(H7="","","oui")</f>
        <v/>
      </c>
      <c r="P7" s="20" t="str">
        <f aca="false">IF(H7="","",H7)</f>
        <v/>
      </c>
      <c r="Q7" s="21" t="str">
        <f aca="false">IF(D7="","","oui")</f>
        <v/>
      </c>
      <c r="S7" s="26"/>
    </row>
    <row r="8" customFormat="false" ht="12.75" hidden="false" customHeight="true" outlineLevel="0" collapsed="false">
      <c r="A8" s="1" t="s">
        <v>19</v>
      </c>
      <c r="B8" s="1" t="s">
        <v>47</v>
      </c>
      <c r="C8" s="23" t="s">
        <v>48</v>
      </c>
      <c r="D8" s="28"/>
      <c r="E8" s="1" t="s">
        <v>49</v>
      </c>
      <c r="F8" s="1" t="s">
        <v>50</v>
      </c>
      <c r="G8" s="1" t="s">
        <v>33</v>
      </c>
      <c r="H8" s="25"/>
      <c r="I8" s="25"/>
      <c r="J8" s="29" t="n">
        <v>45458</v>
      </c>
      <c r="K8" s="20" t="str">
        <f aca="false">B8</f>
        <v>pdipr_date_inscription</v>
      </c>
      <c r="L8" s="21" t="str">
        <f aca="false">IF(C8="","",IF(C8="entier","integer",IF(C8="booléen","boolean",IF(C8="geojson","geojson",IF(C8="décimal","number",IF(C8="date","date","string"))))))</f>
        <v>date</v>
      </c>
      <c r="M8" s="21"/>
      <c r="N8" s="2" t="str">
        <f aca="false">IF(G8="","",IF(G8="obligatoire","oui","non"))</f>
        <v>non</v>
      </c>
      <c r="O8" s="20" t="str">
        <f aca="false">IF(H8="","","oui")</f>
        <v/>
      </c>
      <c r="P8" s="20" t="str">
        <f aca="false">IF(H8="","",H8)</f>
        <v/>
      </c>
      <c r="Q8" s="21" t="str">
        <f aca="false">IF(D8="","","oui")</f>
        <v/>
      </c>
      <c r="S8" s="26"/>
    </row>
    <row r="9" customFormat="false" ht="12.75" hidden="false" customHeight="true" outlineLevel="0" collapsed="false">
      <c r="A9" s="1" t="s">
        <v>19</v>
      </c>
      <c r="B9" s="1" t="s">
        <v>51</v>
      </c>
      <c r="C9" s="23" t="s">
        <v>52</v>
      </c>
      <c r="D9" s="23"/>
      <c r="E9" s="1" t="s">
        <v>53</v>
      </c>
      <c r="F9" s="1" t="s">
        <v>53</v>
      </c>
      <c r="G9" s="1" t="s">
        <v>26</v>
      </c>
      <c r="H9" s="25"/>
      <c r="I9" s="25"/>
      <c r="J9" s="25" t="s">
        <v>54</v>
      </c>
      <c r="K9" s="20" t="str">
        <f aca="false">B9</f>
        <v>nom_cheminement</v>
      </c>
      <c r="L9" s="21" t="str">
        <f aca="false">IF(C9="","",IF(C9="entier","integer",IF(C9="booléen","boolean",IF(C9="geojson","geojson",IF(C9="décimal","number",IF(C9="date","date","string"))))))</f>
        <v>string</v>
      </c>
      <c r="M9" s="21" t="str">
        <f aca="false">IF(LEFT(B9,9)="coord_gps","geopoint",IF(AND(C9="geojson",B9="geom_surf"),"polygon",IF(AND(C9="geojson",B9="geom_pct"),"point",IF(AND(C9="geojson",B9="geom_lin"),"linestring",IF(C9="url","url_pattern",IF(C9="date","%Y-%M-%D",""))))))</f>
        <v/>
      </c>
      <c r="N9" s="2" t="str">
        <f aca="false">IF(G9="","",IF(G9="obligatoire","oui","non"))</f>
        <v>oui</v>
      </c>
      <c r="O9" s="20" t="str">
        <f aca="false">IF(H9="","","oui")</f>
        <v/>
      </c>
      <c r="P9" s="20" t="str">
        <f aca="false">IF(H9="","",H9)</f>
        <v/>
      </c>
      <c r="Q9" s="21" t="str">
        <f aca="false">IF(D9="","","oui")</f>
        <v/>
      </c>
      <c r="S9" s="26" t="s">
        <v>20</v>
      </c>
    </row>
    <row r="10" customFormat="false" ht="12.75" hidden="false" customHeight="true" outlineLevel="0" collapsed="false">
      <c r="A10" s="1" t="s">
        <v>19</v>
      </c>
      <c r="B10" s="30" t="s">
        <v>55</v>
      </c>
      <c r="C10" s="23" t="s">
        <v>56</v>
      </c>
      <c r="D10" s="23"/>
      <c r="E10" s="1" t="s">
        <v>57</v>
      </c>
      <c r="F10" s="1" t="s">
        <v>57</v>
      </c>
      <c r="G10" s="1" t="s">
        <v>26</v>
      </c>
      <c r="H10" s="30" t="s">
        <v>55</v>
      </c>
      <c r="I10" s="25" t="s">
        <v>58</v>
      </c>
      <c r="J10" s="25" t="s">
        <v>58</v>
      </c>
      <c r="K10" s="20" t="str">
        <f aca="false">B10</f>
        <v>type_cheminement</v>
      </c>
      <c r="L10" s="21" t="str">
        <f aca="false">IF(C10="","",IF(C10="entier","integer",IF(C10="booléen","boolean",IF(C10="geojson","geojson",IF(C10="décimal","number",IF(C10="date","date","string"))))))</f>
        <v>string</v>
      </c>
      <c r="M10" s="21" t="str">
        <f aca="false">IF(LEFT(B10,9)="coord_gps","geopoint",IF(AND(C10="geojson",B10="geom_surf"),"polygon",IF(AND(C10="geojson",B10="geom_pct"),"point",IF(AND(C10="geojson",B10="geom_lin"),"linestring",IF(C10="url","url_pattern",IF(C10="date","%Y-%M-%D",""))))))</f>
        <v/>
      </c>
      <c r="N10" s="2" t="str">
        <f aca="false">IF(G10="","",IF(G10="obligatoire","oui","non"))</f>
        <v>oui</v>
      </c>
      <c r="O10" s="20" t="str">
        <f aca="false">IF(H10="","","oui")</f>
        <v>oui</v>
      </c>
      <c r="P10" s="20" t="str">
        <f aca="false">IF(H10="","",H10)</f>
        <v>type_cheminement</v>
      </c>
      <c r="Q10" s="21" t="str">
        <f aca="false">IF(D10="","","oui")</f>
        <v/>
      </c>
      <c r="S10" s="26"/>
    </row>
    <row r="11" customFormat="false" ht="12.75" hidden="false" customHeight="true" outlineLevel="0" collapsed="false">
      <c r="A11" s="1" t="s">
        <v>19</v>
      </c>
      <c r="B11" s="30" t="s">
        <v>59</v>
      </c>
      <c r="C11" s="23" t="s">
        <v>56</v>
      </c>
      <c r="D11" s="23" t="s">
        <v>46</v>
      </c>
      <c r="E11" s="1" t="s">
        <v>60</v>
      </c>
      <c r="F11" s="1" t="s">
        <v>61</v>
      </c>
      <c r="G11" s="1" t="s">
        <v>26</v>
      </c>
      <c r="H11" s="31" t="s">
        <v>59</v>
      </c>
      <c r="I11" s="25" t="s">
        <v>62</v>
      </c>
      <c r="J11" s="25" t="s">
        <v>63</v>
      </c>
      <c r="K11" s="20" t="str">
        <f aca="false">B11</f>
        <v>activité</v>
      </c>
      <c r="L11" s="21" t="str">
        <f aca="false">IF(C11="","",IF(C11="entier","integer",IF(C11="booléen","boolean",IF(C11="geojson","geojson",IF(C11="décimal","number",IF(C11="date","date","string"))))))</f>
        <v>string</v>
      </c>
      <c r="M11" s="21" t="str">
        <f aca="false">IF(LEFT(B11,9)="coord_gps","geopoint",IF(AND(C11="geojson",B11="geom_surf"),"polygon",IF(AND(C11="geojson",B11="geom_pct"),"point",IF(AND(C11="geojson",B11="geom_lin"),"linestring",IF(C11="url","url_pattern",IF(C11="date","%Y-%M-%D",""))))))</f>
        <v/>
      </c>
      <c r="N11" s="2" t="str">
        <f aca="false">IF(G11="","",IF(G11="obligatoire","oui","non"))</f>
        <v>oui</v>
      </c>
      <c r="O11" s="20" t="str">
        <f aca="false">IF(H11="","","oui")</f>
        <v>oui</v>
      </c>
      <c r="P11" s="20" t="str">
        <f aca="false">IF(H11="","",H11)</f>
        <v>activité</v>
      </c>
      <c r="Q11" s="21" t="str">
        <f aca="false">IF(D11="","","oui")</f>
        <v>oui</v>
      </c>
      <c r="S11" s="26"/>
    </row>
    <row r="12" customFormat="false" ht="12.75" hidden="false" customHeight="true" outlineLevel="0" collapsed="false">
      <c r="A12" s="1" t="s">
        <v>19</v>
      </c>
      <c r="B12" s="1" t="s">
        <v>64</v>
      </c>
      <c r="C12" s="23" t="s">
        <v>35</v>
      </c>
      <c r="D12" s="23"/>
      <c r="E12" s="1" t="s">
        <v>65</v>
      </c>
      <c r="F12" s="1" t="s">
        <v>66</v>
      </c>
      <c r="G12" s="1" t="s">
        <v>26</v>
      </c>
      <c r="H12" s="25"/>
      <c r="I12" s="25"/>
      <c r="J12" s="25" t="n">
        <v>2200</v>
      </c>
      <c r="K12" s="20" t="str">
        <f aca="false">B12</f>
        <v>longueur</v>
      </c>
      <c r="L12" s="21" t="str">
        <f aca="false">IF(C12="","",IF(C12="entier","integer",IF(C12="booléen","boolean",IF(C12="geojson","geojson",IF(C12="décimal","number",IF(C12="date","date","string"))))))</f>
        <v>integer</v>
      </c>
      <c r="M12" s="21" t="str">
        <f aca="false">IF(LEFT(B12,9)="coord_gps","geopoint",IF(AND(C12="geojson",B12="geom_surf"),"polygon",IF(AND(C12="geojson",B12="geom_pct"),"point",IF(AND(C12="geojson",B12="geom_lin"),"linestring",IF(C12="url","url_pattern",IF(C12="date","%Y-%M-%D",""))))))</f>
        <v/>
      </c>
      <c r="N12" s="2" t="str">
        <f aca="false">IF(G12="","",IF(G12="obligatoire","oui","non"))</f>
        <v>oui</v>
      </c>
      <c r="O12" s="20" t="str">
        <f aca="false">IF(H12="","","oui")</f>
        <v/>
      </c>
      <c r="P12" s="20" t="str">
        <f aca="false">IF(H12="","",H12)</f>
        <v/>
      </c>
      <c r="Q12" s="21" t="str">
        <f aca="false">IF(D12="","","oui")</f>
        <v/>
      </c>
      <c r="S12" s="26"/>
    </row>
    <row r="13" customFormat="false" ht="12.75" hidden="false" customHeight="true" outlineLevel="0" collapsed="false">
      <c r="A13" s="1" t="s">
        <v>19</v>
      </c>
      <c r="B13" s="1" t="s">
        <v>67</v>
      </c>
      <c r="C13" s="23" t="s">
        <v>52</v>
      </c>
      <c r="D13" s="23"/>
      <c r="E13" s="1" t="s">
        <v>68</v>
      </c>
      <c r="F13" s="1" t="s">
        <v>68</v>
      </c>
      <c r="G13" s="1" t="s">
        <v>26</v>
      </c>
      <c r="H13" s="32"/>
      <c r="I13" s="25"/>
      <c r="J13" s="25" t="s">
        <v>69</v>
      </c>
      <c r="K13" s="20" t="str">
        <f aca="false">B13</f>
        <v>depart</v>
      </c>
      <c r="L13" s="21" t="str">
        <f aca="false">IF(C13="","",IF(C13="entier","integer",IF(C13="booléen","boolean",IF(C13="geojson","geojson",IF(C13="décimal","number",IF(C13="date","date","string"))))))</f>
        <v>string</v>
      </c>
      <c r="M13" s="21" t="str">
        <f aca="false">IF(LEFT(B13,9)="coord_gps","geopoint",IF(AND(C13="geojson",B13="geom_surf"),"polygon",IF(AND(C13="geojson",B13="geom_pct"),"point",IF(AND(C13="geojson",B13="geom_lin"),"linestring",IF(C13="url","url_pattern",IF(C13="date","%Y-%M-%D",""))))))</f>
        <v/>
      </c>
      <c r="N13" s="2" t="str">
        <f aca="false">IF(G13="","",IF(G13="obligatoire","oui","non"))</f>
        <v>oui</v>
      </c>
      <c r="O13" s="20" t="str">
        <f aca="false">IF(H13="","","oui")</f>
        <v/>
      </c>
      <c r="P13" s="20" t="str">
        <f aca="false">IF(H13="","",H13)</f>
        <v/>
      </c>
      <c r="Q13" s="21" t="str">
        <f aca="false">IF(D13="","","oui")</f>
        <v/>
      </c>
      <c r="S13" s="26"/>
    </row>
    <row r="14" customFormat="false" ht="12.75" hidden="false" customHeight="true" outlineLevel="0" collapsed="false">
      <c r="A14" s="1" t="s">
        <v>19</v>
      </c>
      <c r="B14" s="1" t="s">
        <v>70</v>
      </c>
      <c r="C14" s="23" t="s">
        <v>52</v>
      </c>
      <c r="D14" s="23"/>
      <c r="E14" s="1" t="s">
        <v>71</v>
      </c>
      <c r="F14" s="1" t="s">
        <v>71</v>
      </c>
      <c r="G14" s="1" t="s">
        <v>26</v>
      </c>
      <c r="H14" s="32"/>
      <c r="I14" s="25"/>
      <c r="J14" s="25" t="s">
        <v>69</v>
      </c>
      <c r="K14" s="20" t="str">
        <f aca="false">B14</f>
        <v>arrivee</v>
      </c>
      <c r="L14" s="21" t="str">
        <f aca="false">IF(C14="","",IF(C14="entier","integer",IF(C14="booléen","boolean",IF(C14="geojson","geojson",IF(C14="décimal","number",IF(C14="date","date","string"))))))</f>
        <v>string</v>
      </c>
      <c r="M14" s="21" t="str">
        <f aca="false">IF(LEFT(B14,9)="coord_gps","geopoint",IF(AND(C14="geojson",B14="geom_surf"),"polygon",IF(AND(C14="geojson",B14="geom_pct"),"point",IF(AND(C14="geojson",B14="geom_lin"),"linestring",IF(C14="url","url_pattern",IF(C14="date","%Y-%M-%D",""))))))</f>
        <v/>
      </c>
      <c r="N14" s="2" t="str">
        <f aca="false">IF(G14="","",IF(G14="obligatoire","oui","non"))</f>
        <v>oui</v>
      </c>
      <c r="O14" s="20" t="str">
        <f aca="false">IF(H14="","","oui")</f>
        <v/>
      </c>
      <c r="P14" s="20" t="str">
        <f aca="false">IF(H14="","",H14)</f>
        <v/>
      </c>
      <c r="Q14" s="21" t="str">
        <f aca="false">IF(D14="","","oui")</f>
        <v/>
      </c>
      <c r="S14" s="26"/>
    </row>
    <row r="15" customFormat="false" ht="12.75" hidden="false" customHeight="true" outlineLevel="0" collapsed="false">
      <c r="A15" s="1" t="s">
        <v>19</v>
      </c>
      <c r="B15" s="33" t="s">
        <v>72</v>
      </c>
      <c r="C15" s="23" t="s">
        <v>73</v>
      </c>
      <c r="D15" s="23"/>
      <c r="E15" s="1" t="s">
        <v>74</v>
      </c>
      <c r="F15" s="30" t="s">
        <v>75</v>
      </c>
      <c r="G15" s="1" t="s">
        <v>26</v>
      </c>
      <c r="H15" s="31"/>
      <c r="I15" s="25"/>
      <c r="J15" s="25" t="s">
        <v>76</v>
      </c>
      <c r="K15" s="20" t="str">
        <f aca="false">B15</f>
        <v>coord_geo_depart</v>
      </c>
      <c r="L15" s="21" t="str">
        <f aca="false">IF(C15="","",IF(C15="entier","integer",IF(C15="booléen","boolean",IF(C15="geojson","geojson",IF(C15="décimal","number",IF(C15="date","date","string"))))))</f>
        <v>geojson</v>
      </c>
      <c r="M15" s="21" t="str">
        <f aca="false">IF(LEFT(B15,9)="coord_gps","geopoint",IF(AND(C15="geojson",B15="geom_surf"),"polygon",IF(AND(C15="geojson",B15="geom_pct"),"point",IF(AND(C15="geojson",B15="geom_lin"),"linestring",IF(C15="url","url_pattern",IF(C15="date","%Y-%M-%D",""))))))</f>
        <v/>
      </c>
      <c r="N15" s="2" t="str">
        <f aca="false">IF(G15="","",IF(G15="obligatoire","oui","non"))</f>
        <v>oui</v>
      </c>
      <c r="O15" s="20" t="str">
        <f aca="false">IF(H15="","","oui")</f>
        <v/>
      </c>
      <c r="P15" s="20" t="str">
        <f aca="false">IF(H15="","",H15)</f>
        <v/>
      </c>
      <c r="Q15" s="21" t="str">
        <f aca="false">IF(D15="","","oui")</f>
        <v/>
      </c>
      <c r="S15" s="26"/>
    </row>
    <row r="16" customFormat="false" ht="12.75" hidden="false" customHeight="true" outlineLevel="0" collapsed="false">
      <c r="A16" s="1" t="s">
        <v>19</v>
      </c>
      <c r="B16" s="33" t="s">
        <v>77</v>
      </c>
      <c r="C16" s="23" t="s">
        <v>78</v>
      </c>
      <c r="D16" s="23"/>
      <c r="E16" s="1" t="s">
        <v>79</v>
      </c>
      <c r="F16" s="1" t="s">
        <v>80</v>
      </c>
      <c r="G16" s="1" t="s">
        <v>33</v>
      </c>
      <c r="H16" s="30"/>
      <c r="I16" s="25"/>
      <c r="J16" s="25" t="s">
        <v>81</v>
      </c>
      <c r="K16" s="20" t="str">
        <f aca="false">B16</f>
        <v>vue_aerienne</v>
      </c>
      <c r="L16" s="21" t="str">
        <f aca="false">IF(C16="","",IF(C16="entier","integer",IF(C16="booléen","boolean",IF(C16="geojson","geojson",IF(C16="décimal","number",IF(C16="date","date","string"))))))</f>
        <v>string</v>
      </c>
      <c r="M16" s="21" t="str">
        <f aca="false">IF(LEFT(B16,9)="coord_gps","geopoint",IF(AND(C16="geojson",B16="geom_surf"),"polygon",IF(AND(C16="geojson",B16="geom_pct"),"point",IF(AND(C16="geojson",B16="geom_lin"),"linestring",IF(C16="url","url_pattern",IF(C16="date","%Y-%M-%D",""))))))</f>
        <v>url_pattern</v>
      </c>
      <c r="N16" s="2" t="str">
        <f aca="false">IF(G16="","",IF(G16="obligatoire","oui","non"))</f>
        <v>non</v>
      </c>
      <c r="O16" s="20" t="str">
        <f aca="false">IF(H16="","","oui")</f>
        <v/>
      </c>
      <c r="P16" s="20" t="str">
        <f aca="false">IF(H16="","",H16)</f>
        <v/>
      </c>
      <c r="Q16" s="21" t="str">
        <f aca="false">IF(D16="","","oui")</f>
        <v/>
      </c>
    </row>
    <row r="17" customFormat="false" ht="12.75" hidden="false" customHeight="true" outlineLevel="0" collapsed="false">
      <c r="A17" s="1" t="s">
        <v>19</v>
      </c>
      <c r="B17" s="1" t="s">
        <v>82</v>
      </c>
      <c r="C17" s="23" t="s">
        <v>52</v>
      </c>
      <c r="D17" s="23" t="s">
        <v>46</v>
      </c>
      <c r="E17" s="1" t="s">
        <v>83</v>
      </c>
      <c r="F17" s="1" t="s">
        <v>84</v>
      </c>
      <c r="G17" s="1" t="s">
        <v>33</v>
      </c>
      <c r="H17" s="25"/>
      <c r="I17" s="25"/>
      <c r="J17" s="34" t="s">
        <v>85</v>
      </c>
      <c r="K17" s="20" t="str">
        <f aca="false">B17</f>
        <v>communes_nom</v>
      </c>
      <c r="L17" s="21" t="str">
        <f aca="false">IF(C17="","",IF(C17="entier","integer",IF(C17="booléen","boolean",IF(C17="geojson","geojson",IF(C17="décimal","number",IF(C17="date","date","string"))))))</f>
        <v>string</v>
      </c>
      <c r="M17" s="21" t="str">
        <f aca="false">IF(LEFT(B17,9)="coord_gps","geopoint",IF(AND(C17="geojson",B17="geom_surf"),"polygon",IF(AND(C17="geojson",B17="geom_pct"),"point",IF(AND(C17="geojson",B17="geom_lin"),"linestring",IF(C17="url","url_pattern",IF(C17="date","%Y-%M-%D",""))))))</f>
        <v/>
      </c>
      <c r="N17" s="2" t="str">
        <f aca="false">IF(G17="","",IF(G17="obligatoire","oui","non"))</f>
        <v>non</v>
      </c>
      <c r="O17" s="20" t="str">
        <f aca="false">IF(H17="","","oui")</f>
        <v/>
      </c>
      <c r="P17" s="20" t="str">
        <f aca="false">IF(H17="","",H17)</f>
        <v/>
      </c>
      <c r="Q17" s="21" t="str">
        <f aca="false">IF(D17="","","oui")</f>
        <v>oui</v>
      </c>
      <c r="S17" s="26"/>
    </row>
    <row r="18" customFormat="false" ht="12.75" hidden="false" customHeight="true" outlineLevel="0" collapsed="false">
      <c r="A18" s="1" t="s">
        <v>19</v>
      </c>
      <c r="B18" s="1" t="s">
        <v>86</v>
      </c>
      <c r="C18" s="23" t="s">
        <v>52</v>
      </c>
      <c r="D18" s="23" t="s">
        <v>46</v>
      </c>
      <c r="E18" s="1" t="s">
        <v>87</v>
      </c>
      <c r="F18" s="1" t="s">
        <v>88</v>
      </c>
      <c r="G18" s="1" t="s">
        <v>33</v>
      </c>
      <c r="H18" s="25"/>
      <c r="I18" s="25"/>
      <c r="J18" s="35" t="n">
        <v>44003</v>
      </c>
      <c r="K18" s="20" t="str">
        <f aca="false">B18</f>
        <v>communes_code</v>
      </c>
      <c r="L18" s="21" t="str">
        <f aca="false">IF(C18="","",IF(C18="entier","integer",IF(C18="booléen","boolean",IF(C18="geojson","geojson",IF(C18="décimal","number",IF(C18="date","date","string"))))))</f>
        <v>string</v>
      </c>
      <c r="M18" s="21" t="str">
        <f aca="false">IF(LEFT(B18,9)="coord_gps","geopoint",IF(AND(C18="geojson",B18="geom_surf"),"polygon",IF(AND(C18="geojson",B18="geom_pct"),"point",IF(AND(C18="geojson",B18="geom_lin"),"linestring",IF(C18="url","url_pattern",IF(C18="date","%Y-%M-%D",""))))))</f>
        <v/>
      </c>
      <c r="N18" s="2" t="str">
        <f aca="false">IF(G18="","",IF(G18="obligatoire","oui","non"))</f>
        <v>non</v>
      </c>
      <c r="O18" s="20" t="str">
        <f aca="false">IF(H18="","","oui")</f>
        <v/>
      </c>
      <c r="P18" s="20" t="str">
        <f aca="false">IF(H18="","",H18)</f>
        <v/>
      </c>
      <c r="Q18" s="21" t="str">
        <f aca="false">IF(D18="","","oui")</f>
        <v>oui</v>
      </c>
      <c r="S18" s="26"/>
    </row>
    <row r="19" customFormat="false" ht="12.75" hidden="false" customHeight="true" outlineLevel="0" collapsed="false">
      <c r="A19" s="1" t="s">
        <v>19</v>
      </c>
      <c r="B19" s="1" t="s">
        <v>89</v>
      </c>
      <c r="C19" s="23" t="s">
        <v>52</v>
      </c>
      <c r="D19" s="23"/>
      <c r="E19" s="1" t="s">
        <v>90</v>
      </c>
      <c r="F19" s="1" t="s">
        <v>91</v>
      </c>
      <c r="G19" s="1" t="s">
        <v>26</v>
      </c>
      <c r="H19" s="31"/>
      <c r="I19" s="25" t="s">
        <v>92</v>
      </c>
      <c r="J19" s="25" t="s">
        <v>93</v>
      </c>
      <c r="K19" s="20" t="str">
        <f aca="false">B19</f>
        <v>presentation</v>
      </c>
      <c r="L19" s="21" t="str">
        <f aca="false">IF(C19="","",IF(C19="entier","integer",IF(C19="booléen","boolean",IF(C19="geojson","geojson",IF(C19="décimal","number",IF(C19="date","date","string"))))))</f>
        <v>string</v>
      </c>
      <c r="M19" s="21" t="str">
        <f aca="false">IF(LEFT(B19,9)="coord_gps","geopoint",IF(AND(C19="geojson",B19="geom_surf"),"polygon",IF(AND(C19="geojson",B19="geom_pct"),"point",IF(AND(C19="geojson",B19="geom_lin"),"linestring",IF(C19="url","url_pattern",IF(C19="date","%Y-%M-%D",""))))))</f>
        <v/>
      </c>
      <c r="N19" s="2" t="str">
        <f aca="false">IF(G19="","",IF(G19="obligatoire","oui","non"))</f>
        <v>oui</v>
      </c>
      <c r="O19" s="20" t="str">
        <f aca="false">IF(H19="","","oui")</f>
        <v/>
      </c>
      <c r="P19" s="20" t="str">
        <f aca="false">IF(H19="","",H19)</f>
        <v/>
      </c>
      <c r="Q19" s="21" t="str">
        <f aca="false">IF(D19="","","oui")</f>
        <v/>
      </c>
      <c r="S19" s="26"/>
    </row>
    <row r="20" customFormat="false" ht="12.75" hidden="false" customHeight="true" outlineLevel="0" collapsed="false">
      <c r="A20" s="1" t="s">
        <v>19</v>
      </c>
      <c r="B20" s="1" t="s">
        <v>94</v>
      </c>
      <c r="C20" s="23" t="s">
        <v>52</v>
      </c>
      <c r="D20" s="24"/>
      <c r="E20" s="1" t="s">
        <v>95</v>
      </c>
      <c r="F20" s="1" t="s">
        <v>96</v>
      </c>
      <c r="G20" s="1" t="s">
        <v>26</v>
      </c>
      <c r="H20" s="31"/>
      <c r="I20" s="25"/>
      <c r="J20" s="36" t="s">
        <v>97</v>
      </c>
      <c r="K20" s="20" t="str">
        <f aca="false">B20</f>
        <v>description_detaillee</v>
      </c>
      <c r="L20" s="21" t="str">
        <f aca="false">IF(C20="","",IF(C20="entier","integer",IF(C20="booléen","boolean",IF(C20="geojson","geojson",IF(C20="décimal","number",IF(C20="date","date","string"))))))</f>
        <v>string</v>
      </c>
      <c r="M20" s="21" t="str">
        <f aca="false">IF(LEFT(B20,9)="coord_gps","geopoint",IF(AND(C20="geojson",B20="geom_surf"),"polygon",IF(AND(C20="geojson",B20="geom_pct"),"point",IF(AND(C20="geojson",B20="geom_lin"),"linestring",IF(C20="url","url_pattern",IF(C20="date","%Y-%M-%D",""))))))</f>
        <v/>
      </c>
      <c r="N20" s="2" t="str">
        <f aca="false">IF(G20="","",IF(G20="obligatoire","oui","non"))</f>
        <v>oui</v>
      </c>
      <c r="O20" s="20" t="str">
        <f aca="false">IF(H20="","","oui")</f>
        <v/>
      </c>
      <c r="P20" s="20" t="str">
        <f aca="false">IF(H20="","",H20)</f>
        <v/>
      </c>
      <c r="Q20" s="21" t="str">
        <f aca="false">IF(D20="","","oui")</f>
        <v/>
      </c>
      <c r="S20" s="26"/>
    </row>
    <row r="21" customFormat="false" ht="12.75" hidden="false" customHeight="true" outlineLevel="0" collapsed="false">
      <c r="A21" s="1" t="s">
        <v>19</v>
      </c>
      <c r="B21" s="1" t="s">
        <v>98</v>
      </c>
      <c r="C21" s="23" t="s">
        <v>52</v>
      </c>
      <c r="D21" s="24"/>
      <c r="E21" s="1" t="s">
        <v>99</v>
      </c>
      <c r="F21" s="1" t="s">
        <v>100</v>
      </c>
      <c r="G21" s="1" t="s">
        <v>33</v>
      </c>
      <c r="H21" s="31"/>
      <c r="I21" s="25"/>
      <c r="J21" s="25" t="s">
        <v>101</v>
      </c>
      <c r="K21" s="20" t="str">
        <f aca="false">B21</f>
        <v>themes</v>
      </c>
      <c r="L21" s="21" t="str">
        <f aca="false">IF(C21="","",IF(C21="entier","integer",IF(C21="booléen","boolean",IF(C21="geojson","geojson",IF(C21="décimal","number",IF(C21="date","date","string"))))))</f>
        <v>string</v>
      </c>
      <c r="M21" s="21" t="str">
        <f aca="false">IF(LEFT(B21,9)="coord_gps","geopoint",IF(AND(C21="geojson",B21="geom_surf"),"polygon",IF(AND(C21="geojson",B21="geom_pct"),"point",IF(AND(C21="geojson",B21="geom_lin"),"linestring",IF(C21="url","url_pattern",IF(C21="date","%Y-%M-%D",""))))))</f>
        <v/>
      </c>
      <c r="N21" s="2" t="str">
        <f aca="false">IF(G21="","",IF(G21="obligatoire","oui","non"))</f>
        <v>non</v>
      </c>
      <c r="O21" s="20" t="str">
        <f aca="false">IF(H21="","","oui")</f>
        <v/>
      </c>
      <c r="P21" s="20" t="str">
        <f aca="false">IF(H21="","",H21)</f>
        <v/>
      </c>
      <c r="Q21" s="21" t="str">
        <f aca="false">IF(D21="","","oui")</f>
        <v/>
      </c>
      <c r="S21" s="26"/>
    </row>
    <row r="22" customFormat="false" ht="12.75" hidden="false" customHeight="true" outlineLevel="0" collapsed="false">
      <c r="A22" s="1" t="s">
        <v>19</v>
      </c>
      <c r="B22" s="1" t="s">
        <v>102</v>
      </c>
      <c r="C22" s="23" t="s">
        <v>56</v>
      </c>
      <c r="D22" s="23" t="s">
        <v>46</v>
      </c>
      <c r="E22" s="1" t="s">
        <v>103</v>
      </c>
      <c r="F22" s="1" t="s">
        <v>104</v>
      </c>
      <c r="G22" s="1" t="s">
        <v>26</v>
      </c>
      <c r="H22" s="1" t="s">
        <v>102</v>
      </c>
      <c r="I22" s="25"/>
      <c r="J22" s="25" t="s">
        <v>105</v>
      </c>
      <c r="K22" s="20" t="str">
        <f aca="false">B22</f>
        <v>environnement</v>
      </c>
      <c r="L22" s="21" t="str">
        <f aca="false">IF(C22="","",IF(C22="entier","integer",IF(C22="booléen","boolean",IF(C22="geojson","geojson",IF(C22="décimal","number",IF(C22="date","date","string"))))))</f>
        <v>string</v>
      </c>
      <c r="M22" s="21" t="str">
        <f aca="false">IF(LEFT(B22,9)="coord_gps","geopoint",IF(AND(C22="geojson",B22="geom_surf"),"polygon",IF(AND(C22="geojson",B22="geom_pct"),"point",IF(AND(C22="geojson",B22="geom_lin"),"linestring",IF(C22="url","url_pattern",IF(C22="date","%Y-%M-%D",""))))))</f>
        <v/>
      </c>
      <c r="N22" s="2" t="str">
        <f aca="false">IF(G22="","",IF(G22="obligatoire","oui","non"))</f>
        <v>oui</v>
      </c>
      <c r="O22" s="20" t="str">
        <f aca="false">IF(H22="","","oui")</f>
        <v>oui</v>
      </c>
      <c r="P22" s="20" t="str">
        <f aca="false">IF(H22="","",H22)</f>
        <v>environnement</v>
      </c>
      <c r="Q22" s="21" t="str">
        <f aca="false">IF(D22="","","oui")</f>
        <v>oui</v>
      </c>
    </row>
    <row r="23" customFormat="false" ht="12.75" hidden="false" customHeight="true" outlineLevel="0" collapsed="false">
      <c r="A23" s="1" t="s">
        <v>19</v>
      </c>
      <c r="B23" s="1" t="s">
        <v>106</v>
      </c>
      <c r="C23" s="23" t="s">
        <v>52</v>
      </c>
      <c r="D23" s="23"/>
      <c r="E23" s="1" t="s">
        <v>107</v>
      </c>
      <c r="F23" s="1" t="s">
        <v>108</v>
      </c>
      <c r="G23" s="1" t="s">
        <v>33</v>
      </c>
      <c r="H23" s="31"/>
      <c r="I23" s="25" t="s">
        <v>92</v>
      </c>
      <c r="J23" s="25" t="s">
        <v>109</v>
      </c>
      <c r="K23" s="20" t="str">
        <f aca="false">B23</f>
        <v>comm_accessibilite</v>
      </c>
      <c r="L23" s="21" t="str">
        <f aca="false">IF(C23="","",IF(C23="entier","integer",IF(C23="booléen","boolean",IF(C23="geojson","geojson",IF(C23="décimal","number",IF(C23="date","date","string"))))))</f>
        <v>string</v>
      </c>
      <c r="M23" s="21" t="str">
        <f aca="false">IF(LEFT(B23,9)="coord_gps","geopoint",IF(AND(C23="geojson",B23="geom_surf"),"polygon",IF(AND(C23="geojson",B23="geom_pct"),"point",IF(AND(C23="geojson",B23="geom_lin"),"linestring",IF(C23="url","url_pattern",IF(C23="date","%Y-%M-%D",""))))))</f>
        <v/>
      </c>
      <c r="N23" s="2" t="str">
        <f aca="false">IF(G23="","",IF(G23="obligatoire","oui","non"))</f>
        <v>non</v>
      </c>
      <c r="O23" s="20" t="str">
        <f aca="false">IF(H23="","","oui")</f>
        <v/>
      </c>
      <c r="P23" s="20" t="str">
        <f aca="false">IF(H23="","",H23)</f>
        <v/>
      </c>
      <c r="Q23" s="21" t="str">
        <f aca="false">IF(D23="","","oui")</f>
        <v/>
      </c>
      <c r="S23" s="26"/>
    </row>
    <row r="24" customFormat="false" ht="12.75" hidden="false" customHeight="true" outlineLevel="0" collapsed="false">
      <c r="A24" s="1" t="s">
        <v>19</v>
      </c>
      <c r="B24" s="37" t="s">
        <v>110</v>
      </c>
      <c r="C24" s="24" t="s">
        <v>56</v>
      </c>
      <c r="D24" s="24"/>
      <c r="E24" s="1" t="s">
        <v>111</v>
      </c>
      <c r="F24" s="37" t="s">
        <v>111</v>
      </c>
      <c r="G24" s="37" t="s">
        <v>33</v>
      </c>
      <c r="H24" s="37" t="s">
        <v>110</v>
      </c>
      <c r="I24" s="38"/>
      <c r="J24" s="39" t="s">
        <v>112</v>
      </c>
      <c r="K24" s="20" t="str">
        <f aca="false">B24</f>
        <v>presence_personnel</v>
      </c>
      <c r="L24" s="21" t="str">
        <f aca="false">IF(C24="","",IF(C24="entier","integer",IF(C24="booléen","boolean",IF(C24="geojson","geojson",IF(C24="décimal","number",IF(C24="date","date","string"))))))</f>
        <v>string</v>
      </c>
      <c r="M24" s="21" t="str">
        <f aca="false">IF(LEFT(B24,9)="coord_gps","geopoint",IF(AND(C24="geojson",B24="geom_surf"),"polygon",IF(AND(C24="geojson",B24="geom_pct"),"point",IF(AND(C24="geojson",B24="geom_lin"),"linestring",IF(C24="url","url_pattern",IF(C24="date","%Y-%M-%D",""))))))</f>
        <v/>
      </c>
      <c r="N24" s="2" t="str">
        <f aca="false">IF(G24="","",IF(G24="obligatoire","oui","non"))</f>
        <v>non</v>
      </c>
      <c r="O24" s="20" t="str">
        <f aca="false">IF(H24="","","oui")</f>
        <v>oui</v>
      </c>
      <c r="P24" s="20" t="str">
        <f aca="false">IF(H24="","",H24)</f>
        <v>presence_personnel</v>
      </c>
      <c r="Q24" s="21" t="str">
        <f aca="false">IF(D24="","","oui")</f>
        <v/>
      </c>
      <c r="S24" s="26"/>
    </row>
    <row r="25" customFormat="false" ht="12.75" hidden="false" customHeight="true" outlineLevel="0" collapsed="false">
      <c r="A25" s="37" t="s">
        <v>19</v>
      </c>
      <c r="B25" s="37" t="s">
        <v>113</v>
      </c>
      <c r="C25" s="24" t="s">
        <v>43</v>
      </c>
      <c r="D25" s="24"/>
      <c r="E25" s="1" t="s">
        <v>114</v>
      </c>
      <c r="F25" s="37" t="s">
        <v>115</v>
      </c>
      <c r="G25" s="37" t="s">
        <v>26</v>
      </c>
      <c r="H25" s="37"/>
      <c r="I25" s="38"/>
      <c r="J25" s="39" t="s">
        <v>46</v>
      </c>
      <c r="K25" s="20" t="str">
        <f aca="false">B25</f>
        <v>fil_ariane</v>
      </c>
      <c r="L25" s="21" t="str">
        <f aca="false">IF(C25="","",IF(C25="entier","integer",IF(C25="booléen","boolean",IF(C25="geojson","geojson",IF(C25="décimal","number",IF(C25="date","date","string"))))))</f>
        <v>boolean</v>
      </c>
      <c r="M25" s="21" t="str">
        <f aca="false">IF(LEFT(B25,9)="coord_gps","geopoint",IF(AND(C25="geojson",B25="geom_surf"),"polygon",IF(AND(C25="geojson",B25="geom_pct"),"point",IF(AND(C25="geojson",B25="geom_lin"),"linestring",IF(C25="url","url_pattern",IF(C25="date","%Y-%M-%D",""))))))</f>
        <v/>
      </c>
      <c r="N25" s="2" t="str">
        <f aca="false">IF(G25="","",IF(G25="obligatoire","oui","non"))</f>
        <v>oui</v>
      </c>
      <c r="O25" s="20" t="str">
        <f aca="false">IF(H25="","","oui")</f>
        <v/>
      </c>
      <c r="P25" s="20" t="str">
        <f aca="false">IF(H25="","",H25)</f>
        <v/>
      </c>
      <c r="Q25" s="21" t="str">
        <f aca="false">IF(D25="","","oui")</f>
        <v/>
      </c>
      <c r="S25" s="26"/>
    </row>
    <row r="26" customFormat="false" ht="12.75" hidden="false" customHeight="true" outlineLevel="0" collapsed="false">
      <c r="A26" s="1" t="s">
        <v>19</v>
      </c>
      <c r="B26" s="37" t="s">
        <v>116</v>
      </c>
      <c r="C26" s="23" t="s">
        <v>52</v>
      </c>
      <c r="D26" s="23"/>
      <c r="E26" s="1" t="s">
        <v>117</v>
      </c>
      <c r="F26" s="37" t="s">
        <v>118</v>
      </c>
      <c r="G26" s="1" t="s">
        <v>33</v>
      </c>
      <c r="H26" s="31"/>
      <c r="I26" s="25"/>
      <c r="J26" s="25" t="s">
        <v>119</v>
      </c>
      <c r="K26" s="20" t="str">
        <f aca="false">B26</f>
        <v>saisonnalite</v>
      </c>
      <c r="L26" s="21" t="str">
        <f aca="false">IF(C26="","",IF(C26="entier","integer",IF(C26="booléen","boolean",IF(C26="geojson","geojson",IF(C26="décimal","number",IF(C26="date","date","string"))))))</f>
        <v>string</v>
      </c>
      <c r="M26" s="21" t="str">
        <f aca="false">IF(LEFT(B26,9)="coord_gps","geopoint",IF(AND(C26="geojson",B26="geom_surf"),"polygon",IF(AND(C26="geojson",B26="geom_pct"),"point",IF(AND(C26="geojson",B26="geom_lin"),"linestring",IF(C26="url","url_pattern",IF(C26="date","%Y-%M-%D",""))))))</f>
        <v/>
      </c>
      <c r="N26" s="2" t="str">
        <f aca="false">IF(G26="","",IF(G26="obligatoire","oui","non"))</f>
        <v>non</v>
      </c>
      <c r="O26" s="20" t="str">
        <f aca="false">IF(H26="","","oui")</f>
        <v/>
      </c>
      <c r="P26" s="20" t="str">
        <f aca="false">IF(H26="","",H26)</f>
        <v/>
      </c>
      <c r="Q26" s="21" t="str">
        <f aca="false">IF(D26="","","oui")</f>
        <v/>
      </c>
      <c r="S26" s="26"/>
    </row>
    <row r="27" customFormat="false" ht="12.75" hidden="false" customHeight="true" outlineLevel="0" collapsed="false">
      <c r="A27" s="1" t="s">
        <v>19</v>
      </c>
      <c r="B27" s="37" t="s">
        <v>120</v>
      </c>
      <c r="C27" s="23" t="s">
        <v>78</v>
      </c>
      <c r="D27" s="23" t="s">
        <v>46</v>
      </c>
      <c r="E27" s="1" t="s">
        <v>121</v>
      </c>
      <c r="F27" s="37" t="s">
        <v>122</v>
      </c>
      <c r="G27" s="1" t="s">
        <v>26</v>
      </c>
      <c r="H27" s="31"/>
      <c r="I27" s="25" t="s">
        <v>123</v>
      </c>
      <c r="J27" s="35" t="s">
        <v>124</v>
      </c>
      <c r="K27" s="20" t="str">
        <f aca="false">B27</f>
        <v>url_media</v>
      </c>
      <c r="L27" s="21" t="str">
        <f aca="false">IF(C27="","",IF(C27="entier","integer",IF(C27="booléen","boolean",IF(C27="geojson","geojson",IF(C27="décimal","number",IF(C27="date","date","string"))))))</f>
        <v>string</v>
      </c>
      <c r="M27" s="21" t="str">
        <f aca="false">IF(LEFT(B27,9)="coord_gps","geopoint",IF(AND(C27="geojson",B27="geom_surf"),"polygon",IF(AND(C27="geojson",B27="geom_pct"),"point",IF(AND(C27="geojson",B27="geom_lin"),"linestring",IF(C27="url","url_pattern",IF(C27="date","%Y-%M-%D",""))))))</f>
        <v>url_pattern</v>
      </c>
      <c r="N27" s="2" t="str">
        <f aca="false">IF(G27="","",IF(G27="obligatoire","oui","non"))</f>
        <v>oui</v>
      </c>
      <c r="O27" s="20" t="str">
        <f aca="false">IF(H27="","","oui")</f>
        <v/>
      </c>
      <c r="P27" s="20" t="str">
        <f aca="false">IF(H27="","",H27)</f>
        <v/>
      </c>
      <c r="Q27" s="21" t="str">
        <f aca="false">IF(D27="","","oui")</f>
        <v>oui</v>
      </c>
      <c r="S27" s="26"/>
    </row>
    <row r="28" customFormat="false" ht="12.75" hidden="false" customHeight="true" outlineLevel="0" collapsed="false">
      <c r="A28" s="1" t="s">
        <v>19</v>
      </c>
      <c r="B28" s="1" t="s">
        <v>125</v>
      </c>
      <c r="C28" s="23" t="s">
        <v>78</v>
      </c>
      <c r="D28" s="24"/>
      <c r="E28" s="1" t="s">
        <v>126</v>
      </c>
      <c r="F28" s="1" t="s">
        <v>127</v>
      </c>
      <c r="G28" s="1" t="s">
        <v>33</v>
      </c>
      <c r="H28" s="31"/>
      <c r="I28" s="25"/>
      <c r="J28" s="35" t="s">
        <v>128</v>
      </c>
      <c r="K28" s="20" t="str">
        <f aca="false">B28</f>
        <v>site_web</v>
      </c>
      <c r="L28" s="21" t="str">
        <f aca="false">IF(C28="","",IF(C28="entier","integer",IF(C28="booléen","boolean",IF(C28="geojson","geojson",IF(C28="décimal","number",IF(C28="date","date","string"))))))</f>
        <v>string</v>
      </c>
      <c r="M28" s="21" t="str">
        <f aca="false">IF(LEFT(B28,9)="coord_gps","geopoint",IF(AND(C28="geojson",B28="geom_surf"),"polygon",IF(AND(C28="geojson",B28="geom_pct"),"point",IF(AND(C28="geojson",B28="geom_lin"),"linestring",IF(C28="url","url_pattern",IF(C28="date","%Y-%M-%D",""))))))</f>
        <v>url_pattern</v>
      </c>
      <c r="N28" s="2" t="str">
        <f aca="false">IF(G28="","",IF(G28="obligatoire","oui","non"))</f>
        <v>non</v>
      </c>
      <c r="O28" s="20" t="str">
        <f aca="false">IF(H28="","","oui")</f>
        <v/>
      </c>
      <c r="P28" s="20" t="str">
        <f aca="false">IF(H28="","",H28)</f>
        <v/>
      </c>
      <c r="Q28" s="21" t="str">
        <f aca="false">IF(D28="","","oui")</f>
        <v/>
      </c>
      <c r="S28" s="26"/>
    </row>
    <row r="29" customFormat="false" ht="12.75" hidden="false" customHeight="true" outlineLevel="0" collapsed="false">
      <c r="A29" s="1" t="s">
        <v>19</v>
      </c>
      <c r="B29" s="1" t="s">
        <v>129</v>
      </c>
      <c r="C29" s="23" t="s">
        <v>35</v>
      </c>
      <c r="D29" s="23"/>
      <c r="E29" s="1" t="s">
        <v>130</v>
      </c>
      <c r="F29" s="1" t="s">
        <v>131</v>
      </c>
      <c r="G29" s="1" t="s">
        <v>26</v>
      </c>
      <c r="H29" s="32"/>
      <c r="I29" s="25"/>
      <c r="J29" s="35" t="n">
        <v>1200</v>
      </c>
      <c r="K29" s="20" t="str">
        <f aca="false">B29</f>
        <v>altitude</v>
      </c>
      <c r="L29" s="21" t="str">
        <f aca="false">IF(C29="","",IF(C29="entier","integer",IF(C29="booléen","boolean",IF(C29="geojson","geojson",IF(C29="décimal","number",IF(C29="date","date","string"))))))</f>
        <v>integer</v>
      </c>
      <c r="M29" s="21" t="str">
        <f aca="false">IF(LEFT(B29,9)="coord_gps","geopoint",IF(AND(C29="geojson",B29="geom_surf"),"polygon",IF(AND(C29="geojson",B29="geom_pct"),"point",IF(AND(C29="geojson",B29="geom_lin"),"linestring",IF(C29="url","url_pattern",IF(C29="date","%Y-%M-%D",""))))))</f>
        <v/>
      </c>
      <c r="N29" s="2" t="str">
        <f aca="false">IF(G29="","",IF(G29="obligatoire","oui","non"))</f>
        <v>oui</v>
      </c>
      <c r="O29" s="20" t="str">
        <f aca="false">IF(H29="","","oui")</f>
        <v/>
      </c>
      <c r="P29" s="20" t="str">
        <f aca="false">IF(H29="","",H29)</f>
        <v/>
      </c>
      <c r="Q29" s="21" t="str">
        <f aca="false">IF(D29="","","oui")</f>
        <v/>
      </c>
      <c r="S29" s="26"/>
    </row>
    <row r="30" customFormat="false" ht="12.75" hidden="false" customHeight="true" outlineLevel="0" collapsed="false">
      <c r="A30" s="1" t="s">
        <v>19</v>
      </c>
      <c r="B30" s="30" t="s">
        <v>132</v>
      </c>
      <c r="C30" s="23" t="s">
        <v>56</v>
      </c>
      <c r="D30" s="23" t="s">
        <v>46</v>
      </c>
      <c r="E30" s="1" t="s">
        <v>133</v>
      </c>
      <c r="F30" s="1" t="s">
        <v>134</v>
      </c>
      <c r="G30" s="1" t="s">
        <v>26</v>
      </c>
      <c r="H30" s="32" t="s">
        <v>132</v>
      </c>
      <c r="I30" s="25" t="s">
        <v>92</v>
      </c>
      <c r="J30" s="35" t="s">
        <v>135</v>
      </c>
      <c r="K30" s="20" t="str">
        <f aca="false">B30</f>
        <v>exposition</v>
      </c>
      <c r="L30" s="21" t="str">
        <f aca="false">IF(C30="","",IF(C30="entier","integer",IF(C30="booléen","boolean",IF(C30="geojson","geojson",IF(C30="décimal","number",IF(C30="date","date","string"))))))</f>
        <v>string</v>
      </c>
      <c r="M30" s="21" t="str">
        <f aca="false">IF(LEFT(B30,9)="coord_gps","geopoint",IF(AND(C30="geojson",B30="geom_surf"),"polygon",IF(AND(C30="geojson",B30="geom_pct"),"point",IF(AND(C30="geojson",B30="geom_lin"),"linestring",IF(C30="url","url_pattern",IF(C30="date","%Y-%M-%D",""))))))</f>
        <v/>
      </c>
      <c r="N30" s="2" t="str">
        <f aca="false">IF(G30="","",IF(G30="obligatoire","oui","non"))</f>
        <v>oui</v>
      </c>
      <c r="O30" s="20" t="str">
        <f aca="false">IF(H30="","","oui")</f>
        <v>oui</v>
      </c>
      <c r="P30" s="20" t="str">
        <f aca="false">IF(H30="","",H30)</f>
        <v>exposition</v>
      </c>
      <c r="Q30" s="21" t="str">
        <f aca="false">IF(D30="","","oui")</f>
        <v>oui</v>
      </c>
      <c r="S30" s="26"/>
    </row>
    <row r="31" customFormat="false" ht="12.75" hidden="false" customHeight="true" outlineLevel="0" collapsed="false">
      <c r="A31" s="1" t="s">
        <v>19</v>
      </c>
      <c r="B31" s="30" t="s">
        <v>136</v>
      </c>
      <c r="C31" s="23" t="s">
        <v>56</v>
      </c>
      <c r="D31" s="23" t="s">
        <v>46</v>
      </c>
      <c r="E31" s="1" t="s">
        <v>137</v>
      </c>
      <c r="F31" s="1" t="s">
        <v>138</v>
      </c>
      <c r="G31" s="1" t="s">
        <v>26</v>
      </c>
      <c r="H31" s="30" t="s">
        <v>136</v>
      </c>
      <c r="I31" s="25" t="s">
        <v>92</v>
      </c>
      <c r="J31" s="35" t="s">
        <v>139</v>
      </c>
      <c r="K31" s="20" t="str">
        <f aca="false">B31</f>
        <v>label_psh</v>
      </c>
      <c r="L31" s="21" t="str">
        <f aca="false">IF(C31="","",IF(C31="entier","integer",IF(C31="booléen","boolean",IF(C31="geojson","geojson",IF(C31="décimal","number",IF(C31="date","date","string"))))))</f>
        <v>string</v>
      </c>
      <c r="M31" s="21" t="str">
        <f aca="false">IF(LEFT(B31,9)="coord_gps","geopoint",IF(AND(C31="geojson",B31="geom_surf"),"polygon",IF(AND(C31="geojson",B31="geom_pct"),"point",IF(AND(C31="geojson",B31="geom_lin"),"linestring",IF(C31="url","url_pattern",IF(C31="date","%Y-%M-%D",""))))))</f>
        <v/>
      </c>
      <c r="N31" s="2" t="str">
        <f aca="false">IF(G31="","",IF(G31="obligatoire","oui","non"))</f>
        <v>oui</v>
      </c>
      <c r="O31" s="20" t="str">
        <f aca="false">IF(H31="","","oui")</f>
        <v>oui</v>
      </c>
      <c r="P31" s="20" t="str">
        <f aca="false">IF(H31="","",H31)</f>
        <v>label_psh</v>
      </c>
      <c r="Q31" s="21" t="str">
        <f aca="false">IF(D31="","","oui")</f>
        <v>oui</v>
      </c>
      <c r="S31" s="26"/>
    </row>
    <row r="32" customFormat="false" ht="12.75" hidden="false" customHeight="true" outlineLevel="0" collapsed="false">
      <c r="A32" s="1" t="s">
        <v>19</v>
      </c>
      <c r="B32" s="1" t="s">
        <v>140</v>
      </c>
      <c r="C32" s="23" t="s">
        <v>141</v>
      </c>
      <c r="D32" s="23"/>
      <c r="E32" s="40" t="s">
        <v>142</v>
      </c>
      <c r="F32" s="40" t="s">
        <v>143</v>
      </c>
      <c r="G32" s="1" t="s">
        <v>26</v>
      </c>
      <c r="H32" s="25"/>
      <c r="I32" s="25"/>
      <c r="J32" s="35" t="n">
        <v>0.7</v>
      </c>
      <c r="K32" s="20" t="str">
        <f aca="false">B32</f>
        <v>largeur_min</v>
      </c>
      <c r="L32" s="21" t="str">
        <f aca="false">IF(C32="","",IF(C32="entier","integer",IF(C32="booléen","boolean",IF(C32="geojson","geojson",IF(C32="décimal","number",IF(C32="date","date","string"))))))</f>
        <v>number</v>
      </c>
      <c r="M32" s="21" t="str">
        <f aca="false">IF(LEFT(B32,9)="coord_gps","geopoint",IF(AND(C32="geojson",B32="geom_surf"),"polygon",IF(AND(C32="geojson",B32="geom_pct"),"point",IF(AND(C32="geojson",B32="geom_lin"),"linestring",IF(C32="url","url_pattern",IF(C32="date","%Y-%M-%D",""))))))</f>
        <v/>
      </c>
      <c r="N32" s="2" t="str">
        <f aca="false">IF(G32="","",IF(G32="obligatoire","oui","non"))</f>
        <v>oui</v>
      </c>
      <c r="O32" s="20" t="str">
        <f aca="false">IF(H32="","","oui")</f>
        <v/>
      </c>
      <c r="P32" s="20" t="str">
        <f aca="false">IF(H32="","",H32)</f>
        <v/>
      </c>
      <c r="Q32" s="21" t="str">
        <f aca="false">IF(D32="","","oui")</f>
        <v/>
      </c>
      <c r="S32" s="26"/>
    </row>
    <row r="33" customFormat="false" ht="12.75" hidden="false" customHeight="true" outlineLevel="0" collapsed="false">
      <c r="A33" s="1" t="s">
        <v>19</v>
      </c>
      <c r="B33" s="1" t="s">
        <v>144</v>
      </c>
      <c r="C33" s="23" t="s">
        <v>145</v>
      </c>
      <c r="D33" s="23"/>
      <c r="E33" s="1" t="s">
        <v>146</v>
      </c>
      <c r="F33" s="1" t="s">
        <v>146</v>
      </c>
      <c r="G33" s="1" t="s">
        <v>26</v>
      </c>
      <c r="H33" s="25" t="s">
        <v>147</v>
      </c>
      <c r="I33" s="25"/>
      <c r="J33" s="35" t="s">
        <v>148</v>
      </c>
      <c r="K33" s="20" t="str">
        <f aca="false">B33</f>
        <v>pente_max</v>
      </c>
      <c r="L33" s="21" t="str">
        <f aca="false">IF(C33="","",IF(C33="entier","integer",IF(C33="booléen","boolean",IF(C33="geojson","geojson",IF(C33="décimal","number",IF(C33="date","date","string"))))))</f>
        <v>string</v>
      </c>
      <c r="M33" s="21" t="str">
        <f aca="false">IF(LEFT(B33,9)="coord_gps","geopoint",IF(AND(C33="geojson",B33="geom_surf"),"polygon",IF(AND(C33="geojson",B33="geom_pct"),"point",IF(AND(C33="geojson",B33="geom_lin"),"linestring",IF(C33="url","url_pattern",IF(C33="date","%Y-%M-%D",""))))))</f>
        <v/>
      </c>
      <c r="N33" s="2" t="str">
        <f aca="false">IF(G33="","",IF(G33="obligatoire","oui","non"))</f>
        <v>oui</v>
      </c>
      <c r="O33" s="20" t="str">
        <f aca="false">IF(H33="","","oui")</f>
        <v>oui</v>
      </c>
      <c r="P33" s="20" t="str">
        <f aca="false">IF(H33="","",H33)</f>
        <v>pente</v>
      </c>
      <c r="Q33" s="21" t="str">
        <f aca="false">IF(D33="","","oui")</f>
        <v/>
      </c>
      <c r="S33" s="26"/>
    </row>
    <row r="34" customFormat="false" ht="12.75" hidden="false" customHeight="true" outlineLevel="0" collapsed="false">
      <c r="A34" s="1" t="s">
        <v>19</v>
      </c>
      <c r="B34" s="30" t="s">
        <v>149</v>
      </c>
      <c r="C34" s="23" t="s">
        <v>56</v>
      </c>
      <c r="D34" s="23"/>
      <c r="E34" s="1" t="s">
        <v>150</v>
      </c>
      <c r="F34" s="1" t="s">
        <v>151</v>
      </c>
      <c r="G34" s="1" t="s">
        <v>26</v>
      </c>
      <c r="H34" s="32" t="s">
        <v>152</v>
      </c>
      <c r="I34" s="25" t="s">
        <v>153</v>
      </c>
      <c r="J34" s="35" t="s">
        <v>148</v>
      </c>
      <c r="K34" s="20" t="str">
        <f aca="false">B34</f>
        <v>devers_max</v>
      </c>
      <c r="L34" s="21" t="str">
        <f aca="false">IF(C34="","",IF(C34="entier","integer",IF(C34="booléen","boolean",IF(C34="geojson","geojson",IF(C34="décimal","number",IF(C34="date","date","string"))))))</f>
        <v>string</v>
      </c>
      <c r="M34" s="21" t="str">
        <f aca="false">IF(LEFT(B34,9)="coord_gps","geopoint",IF(AND(C34="geojson",B34="geom_surf"),"polygon",IF(AND(C34="geojson",B34="geom_pct"),"point",IF(AND(C34="geojson",B34="geom_lin"),"linestring",IF(C34="url","url_pattern",IF(C34="date","%Y-%M-%D",""))))))</f>
        <v/>
      </c>
      <c r="N34" s="2" t="str">
        <f aca="false">IF(G34="","",IF(G34="obligatoire","oui","non"))</f>
        <v>oui</v>
      </c>
      <c r="O34" s="20" t="str">
        <f aca="false">IF(H34="","","oui")</f>
        <v>oui</v>
      </c>
      <c r="P34" s="20" t="str">
        <f aca="false">IF(H34="","",H34)</f>
        <v>devers</v>
      </c>
      <c r="Q34" s="21" t="str">
        <f aca="false">IF(D34="","","oui")</f>
        <v/>
      </c>
      <c r="S34" s="26"/>
    </row>
    <row r="35" customFormat="false" ht="12.75" hidden="false" customHeight="true" outlineLevel="0" collapsed="false">
      <c r="A35" s="1" t="s">
        <v>19</v>
      </c>
      <c r="B35" s="1" t="s">
        <v>154</v>
      </c>
      <c r="C35" s="23" t="s">
        <v>35</v>
      </c>
      <c r="D35" s="23"/>
      <c r="E35" s="1" t="s">
        <v>155</v>
      </c>
      <c r="F35" s="1" t="s">
        <v>156</v>
      </c>
      <c r="G35" s="1" t="s">
        <v>26</v>
      </c>
      <c r="H35" s="25"/>
      <c r="I35" s="25" t="n">
        <v>0</v>
      </c>
      <c r="J35" s="35" t="n">
        <v>150</v>
      </c>
      <c r="K35" s="20" t="str">
        <f aca="false">B35</f>
        <v>denivele_positif</v>
      </c>
      <c r="L35" s="21" t="str">
        <f aca="false">IF(C35="","",IF(C35="entier","integer",IF(C35="booléen","boolean",IF(C35="geojson","geojson",IF(C35="décimal","number",IF(C35="date","date","string"))))))</f>
        <v>integer</v>
      </c>
      <c r="M35" s="21" t="str">
        <f aca="false">IF(LEFT(B35,9)="coord_gps","geopoint",IF(AND(C35="geojson",B35="geom_surf"),"polygon",IF(AND(C35="geojson",B35="geom_pct"),"point",IF(AND(C35="geojson",B35="geom_lin"),"linestring",IF(C35="url","url_pattern",IF(C35="date","%Y-%M-%D",""))))))</f>
        <v/>
      </c>
      <c r="N35" s="2" t="str">
        <f aca="false">IF(G35="","",IF(G35="obligatoire","oui","non"))</f>
        <v>oui</v>
      </c>
      <c r="O35" s="20" t="str">
        <f aca="false">IF(H35="","","oui")</f>
        <v/>
      </c>
      <c r="P35" s="20" t="str">
        <f aca="false">IF(H35="","",H35)</f>
        <v/>
      </c>
      <c r="Q35" s="21" t="str">
        <f aca="false">IF(D35="","","oui")</f>
        <v/>
      </c>
      <c r="S35" s="26"/>
    </row>
    <row r="36" customFormat="false" ht="12.75" hidden="false" customHeight="true" outlineLevel="0" collapsed="false">
      <c r="A36" s="1" t="s">
        <v>19</v>
      </c>
      <c r="B36" s="1" t="s">
        <v>157</v>
      </c>
      <c r="C36" s="23" t="s">
        <v>78</v>
      </c>
      <c r="D36" s="23"/>
      <c r="E36" s="1" t="s">
        <v>158</v>
      </c>
      <c r="F36" s="1" t="s">
        <v>159</v>
      </c>
      <c r="G36" s="1" t="s">
        <v>33</v>
      </c>
      <c r="H36" s="25"/>
      <c r="I36" s="25" t="s">
        <v>160</v>
      </c>
      <c r="J36" s="35" t="s">
        <v>161</v>
      </c>
      <c r="K36" s="20" t="str">
        <f aca="false">B36</f>
        <v>profil_altimétrique</v>
      </c>
      <c r="L36" s="21" t="str">
        <f aca="false">IF(C36="","",IF(C36="entier","integer",IF(C36="booléen","boolean",IF(C36="geojson","geojson",IF(C36="décimal","number",IF(C36="date","date","string"))))))</f>
        <v>string</v>
      </c>
      <c r="M36" s="21" t="str">
        <f aca="false">IF(LEFT(B36,9)="coord_gps","geopoint",IF(AND(C36="geojson",B36="geom_surf"),"polygon",IF(AND(C36="geojson",B36="geom_pct"),"point",IF(AND(C36="geojson",B36="geom_lin"),"linestring",IF(C36="url","url_pattern",IF(C36="date","%Y-%M-%D",""))))))</f>
        <v>url_pattern</v>
      </c>
      <c r="N36" s="2" t="str">
        <f aca="false">IF(G36="","",IF(G36="obligatoire","oui","non"))</f>
        <v>non</v>
      </c>
      <c r="O36" s="20" t="str">
        <f aca="false">IF(H36="","","oui")</f>
        <v/>
      </c>
      <c r="P36" s="20" t="str">
        <f aca="false">IF(H36="","",H36)</f>
        <v/>
      </c>
      <c r="Q36" s="21" t="str">
        <f aca="false">IF(D36="","","oui")</f>
        <v/>
      </c>
      <c r="S36" s="26"/>
    </row>
    <row r="37" customFormat="false" ht="12.75" hidden="false" customHeight="true" outlineLevel="0" collapsed="false">
      <c r="A37" s="1" t="s">
        <v>19</v>
      </c>
      <c r="B37" s="30" t="s">
        <v>162</v>
      </c>
      <c r="C37" s="23" t="s">
        <v>56</v>
      </c>
      <c r="D37" s="23" t="s">
        <v>46</v>
      </c>
      <c r="E37" s="1" t="s">
        <v>163</v>
      </c>
      <c r="F37" s="1" t="s">
        <v>164</v>
      </c>
      <c r="G37" s="1" t="s">
        <v>26</v>
      </c>
      <c r="H37" s="41" t="s">
        <v>162</v>
      </c>
      <c r="I37" s="25" t="s">
        <v>165</v>
      </c>
      <c r="J37" s="25" t="s">
        <v>166</v>
      </c>
      <c r="K37" s="20" t="str">
        <f aca="false">B37</f>
        <v>type_sol</v>
      </c>
      <c r="L37" s="21" t="str">
        <f aca="false">IF(C37="","",IF(C37="entier","integer",IF(C37="booléen","boolean",IF(C37="geojson","geojson",IF(C37="décimal","number",IF(C37="date","date","string"))))))</f>
        <v>string</v>
      </c>
      <c r="M37" s="21" t="str">
        <f aca="false">IF(LEFT(B37,9)="coord_gps","geopoint",IF(AND(C37="geojson",B37="geom_surf"),"polygon",IF(AND(C37="geojson",B37="geom_pct"),"point",IF(AND(C37="geojson",B37="geom_lin"),"linestring",IF(C37="url","url_pattern",IF(C37="date","%Y-%M-%D",""))))))</f>
        <v/>
      </c>
      <c r="N37" s="2" t="str">
        <f aca="false">IF(G37="","",IF(G37="obligatoire","oui","non"))</f>
        <v>oui</v>
      </c>
      <c r="O37" s="20" t="str">
        <f aca="false">IF(H37="","","oui")</f>
        <v>oui</v>
      </c>
      <c r="P37" s="20" t="str">
        <f aca="false">IF(H37="","",H37)</f>
        <v>type_sol</v>
      </c>
      <c r="Q37" s="21" t="str">
        <f aca="false">IF(D37="","","oui")</f>
        <v>oui</v>
      </c>
      <c r="S37" s="26"/>
    </row>
    <row r="38" customFormat="false" ht="12.75" hidden="false" customHeight="true" outlineLevel="0" collapsed="false">
      <c r="A38" s="1" t="s">
        <v>19</v>
      </c>
      <c r="B38" s="30" t="s">
        <v>167</v>
      </c>
      <c r="C38" s="23" t="s">
        <v>56</v>
      </c>
      <c r="D38" s="23" t="s">
        <v>46</v>
      </c>
      <c r="E38" s="1" t="s">
        <v>168</v>
      </c>
      <c r="F38" s="1" t="s">
        <v>168</v>
      </c>
      <c r="G38" s="1" t="s">
        <v>26</v>
      </c>
      <c r="H38" s="30" t="s">
        <v>167</v>
      </c>
      <c r="I38" s="25" t="s">
        <v>169</v>
      </c>
      <c r="J38" s="25" t="s">
        <v>169</v>
      </c>
      <c r="K38" s="20" t="str">
        <f aca="false">B38</f>
        <v>etat_sol</v>
      </c>
      <c r="L38" s="21" t="str">
        <f aca="false">IF(C38="","",IF(C38="entier","integer",IF(C38="booléen","boolean",IF(C38="geojson","geojson",IF(C38="décimal","number",IF(C38="date","date","string"))))))</f>
        <v>string</v>
      </c>
      <c r="M38" s="21" t="str">
        <f aca="false">IF(LEFT(B38,9)="coord_gps","geopoint",IF(AND(C38="geojson",B38="geom_surf"),"polygon",IF(AND(C38="geojson",B38="geom_pct"),"point",IF(AND(C38="geojson",B38="geom_lin"),"linestring",IF(C38="url","url_pattern",IF(C38="date","%Y-%M-%D",""))))))</f>
        <v/>
      </c>
      <c r="N38" s="2" t="str">
        <f aca="false">IF(G38="","",IF(G38="obligatoire","oui","non"))</f>
        <v>oui</v>
      </c>
      <c r="O38" s="20" t="str">
        <f aca="false">IF(H38="","","oui")</f>
        <v>oui</v>
      </c>
      <c r="P38" s="20" t="str">
        <f aca="false">IF(H38="","",H38)</f>
        <v>etat_sol</v>
      </c>
      <c r="Q38" s="21" t="str">
        <f aca="false">IF(D38="","","oui")</f>
        <v>oui</v>
      </c>
      <c r="S38" s="26"/>
    </row>
    <row r="39" customFormat="false" ht="12.75" hidden="false" customHeight="true" outlineLevel="0" collapsed="false">
      <c r="A39" s="1" t="s">
        <v>19</v>
      </c>
      <c r="B39" s="42" t="s">
        <v>170</v>
      </c>
      <c r="C39" s="43" t="s">
        <v>56</v>
      </c>
      <c r="D39" s="23" t="s">
        <v>46</v>
      </c>
      <c r="E39" s="1" t="s">
        <v>171</v>
      </c>
      <c r="F39" s="1" t="s">
        <v>172</v>
      </c>
      <c r="G39" s="1" t="s">
        <v>26</v>
      </c>
      <c r="H39" s="42" t="s">
        <v>170</v>
      </c>
      <c r="I39" s="25" t="s">
        <v>173</v>
      </c>
      <c r="J39" s="1" t="s">
        <v>174</v>
      </c>
      <c r="K39" s="20" t="str">
        <f aca="false">B39</f>
        <v>systeme_guidage</v>
      </c>
      <c r="L39" s="21" t="str">
        <f aca="false">IF(C39="","",IF(C39="entier","integer",IF(C39="booléen","boolean",IF(C39="geojson","geojson",IF(C39="décimal","number",IF(C39="date","date","string"))))))</f>
        <v>string</v>
      </c>
      <c r="M39" s="21" t="str">
        <f aca="false">IF(LEFT(B39,9)="coord_gps","geopoint",IF(AND(C39="geojson",B39="geom_surf"),"polygon",IF(AND(C39="geojson",B39="geom_pct"),"point",IF(AND(C39="geojson",B39="geom_lin"),"linestring",IF(C39="url","url_pattern",IF(C39="date","%Y-%M-%D",""))))))</f>
        <v/>
      </c>
      <c r="N39" s="2" t="str">
        <f aca="false">IF(G39="","",IF(G39="obligatoire","oui","non"))</f>
        <v>oui</v>
      </c>
      <c r="O39" s="20" t="str">
        <f aca="false">IF(H39="","","oui")</f>
        <v>oui</v>
      </c>
      <c r="P39" s="20" t="str">
        <f aca="false">IF(H39="","",H39)</f>
        <v>systeme_guidage</v>
      </c>
      <c r="Q39" s="21" t="str">
        <f aca="false">IF(D39="","","oui")</f>
        <v>oui</v>
      </c>
      <c r="S39" s="26"/>
    </row>
    <row r="40" customFormat="false" ht="12.75" hidden="false" customHeight="true" outlineLevel="0" collapsed="false">
      <c r="A40" s="1" t="s">
        <v>19</v>
      </c>
      <c r="B40" s="30" t="s">
        <v>175</v>
      </c>
      <c r="C40" s="23" t="s">
        <v>56</v>
      </c>
      <c r="D40" s="23"/>
      <c r="E40" s="40" t="s">
        <v>176</v>
      </c>
      <c r="F40" s="40" t="s">
        <v>177</v>
      </c>
      <c r="G40" s="1" t="s">
        <v>26</v>
      </c>
      <c r="H40" s="30" t="s">
        <v>175</v>
      </c>
      <c r="I40" s="25" t="s">
        <v>178</v>
      </c>
      <c r="J40" s="40" t="s">
        <v>179</v>
      </c>
      <c r="K40" s="20" t="str">
        <f aca="false">B40</f>
        <v>reperabilite</v>
      </c>
      <c r="L40" s="21" t="str">
        <f aca="false">IF(C40="","",IF(C40="entier","integer",IF(C40="booléen","boolean",IF(C40="geojson","geojson",IF(C40="décimal","number",IF(C40="date","date","string"))))))</f>
        <v>string</v>
      </c>
      <c r="M40" s="21" t="str">
        <f aca="false">IF(LEFT(B40,9)="coord_gps","geopoint",IF(AND(C40="geojson",B40="geom_surf"),"polygon",IF(AND(C40="geojson",B40="geom_pct"),"point",IF(AND(C40="geojson",B40="geom_lin"),"linestring",IF(C40="url","url_pattern",IF(C40="date","%Y-%M-%D",""))))))</f>
        <v/>
      </c>
      <c r="N40" s="2" t="str">
        <f aca="false">IF(G40="","",IF(G40="obligatoire","oui","non"))</f>
        <v>oui</v>
      </c>
      <c r="O40" s="20" t="str">
        <f aca="false">IF(H40="","","oui")</f>
        <v>oui</v>
      </c>
      <c r="P40" s="20" t="str">
        <f aca="false">IF(H40="","",H40)</f>
        <v>reperabilite</v>
      </c>
      <c r="Q40" s="21" t="str">
        <f aca="false">IF(D40="","","oui")</f>
        <v/>
      </c>
    </row>
    <row r="41" customFormat="false" ht="12.75" hidden="false" customHeight="true" outlineLevel="0" collapsed="false">
      <c r="A41" s="1" t="s">
        <v>19</v>
      </c>
      <c r="B41" s="30" t="s">
        <v>180</v>
      </c>
      <c r="C41" s="23" t="s">
        <v>56</v>
      </c>
      <c r="D41" s="23"/>
      <c r="E41" s="1" t="s">
        <v>181</v>
      </c>
      <c r="F41" s="1" t="s">
        <v>182</v>
      </c>
      <c r="G41" s="1" t="s">
        <v>26</v>
      </c>
      <c r="H41" s="30" t="s">
        <v>180</v>
      </c>
      <c r="I41" s="25" t="s">
        <v>178</v>
      </c>
      <c r="J41" s="1" t="s">
        <v>183</v>
      </c>
      <c r="K41" s="20" t="str">
        <f aca="false">B41</f>
        <v>continuite_repere</v>
      </c>
      <c r="L41" s="21" t="str">
        <f aca="false">IF(C41="","",IF(C41="entier","integer",IF(C41="booléen","boolean",IF(C41="geojson","geojson",IF(C41="décimal","number",IF(C41="date","date","string"))))))</f>
        <v>string</v>
      </c>
      <c r="M41" s="21" t="str">
        <f aca="false">IF(LEFT(B41,9)="coord_gps","geopoint",IF(AND(C41="geojson",B41="geom_surf"),"polygon",IF(AND(C41="geojson",B41="geom_pct"),"point",IF(AND(C41="geojson",B41="geom_lin"),"linestring",IF(C41="url","url_pattern",IF(C41="date","%Y-%M-%D",""))))))</f>
        <v/>
      </c>
      <c r="N41" s="2" t="str">
        <f aca="false">IF(G41="","",IF(G41="obligatoire","oui","non"))</f>
        <v>oui</v>
      </c>
      <c r="O41" s="20" t="str">
        <f aca="false">IF(H41="","","oui")</f>
        <v>oui</v>
      </c>
      <c r="P41" s="20" t="str">
        <f aca="false">IF(H41="","",H41)</f>
        <v>continuite_repere</v>
      </c>
      <c r="Q41" s="21" t="str">
        <f aca="false">IF(D41="","","oui")</f>
        <v/>
      </c>
      <c r="S41" s="26"/>
    </row>
    <row r="42" customFormat="false" ht="12.75" hidden="false" customHeight="true" outlineLevel="0" collapsed="false">
      <c r="A42" s="1" t="s">
        <v>19</v>
      </c>
      <c r="B42" s="1" t="s">
        <v>184</v>
      </c>
      <c r="C42" s="23" t="s">
        <v>43</v>
      </c>
      <c r="D42" s="23"/>
      <c r="E42" s="1" t="s">
        <v>185</v>
      </c>
      <c r="F42" s="1" t="s">
        <v>186</v>
      </c>
      <c r="G42" s="1" t="s">
        <v>26</v>
      </c>
      <c r="H42" s="25"/>
      <c r="I42" s="25"/>
      <c r="J42" s="25" t="s">
        <v>46</v>
      </c>
      <c r="K42" s="20" t="str">
        <f aca="false">B42</f>
        <v>signaletique</v>
      </c>
      <c r="L42" s="21" t="str">
        <f aca="false">IF(C42="","",IF(C42="entier","integer",IF(C42="booléen","boolean",IF(C42="geojson","geojson",IF(C42="décimal","number",IF(C42="date","date","string"))))))</f>
        <v>boolean</v>
      </c>
      <c r="M42" s="21" t="str">
        <f aca="false">IF(LEFT(B42,9)="coord_gps","geopoint",IF(AND(C42="geojson",B42="geom_surf"),"polygon",IF(AND(C42="geojson",B42="geom_pct"),"point",IF(AND(C42="geojson",B42="geom_lin"),"linestring",IF(C42="url","url_pattern",IF(C42="date","%Y-%M-%D",""))))))</f>
        <v/>
      </c>
      <c r="N42" s="2" t="str">
        <f aca="false">IF(G42="","",IF(G42="obligatoire","oui","non"))</f>
        <v>oui</v>
      </c>
      <c r="O42" s="20" t="str">
        <f aca="false">IF(H42="","","oui")</f>
        <v/>
      </c>
      <c r="P42" s="20" t="str">
        <f aca="false">IF(H42="","",H42)</f>
        <v/>
      </c>
      <c r="Q42" s="21" t="str">
        <f aca="false">IF(D42="","","oui")</f>
        <v/>
      </c>
      <c r="S42" s="26"/>
    </row>
    <row r="43" customFormat="false" ht="12.75" hidden="false" customHeight="true" outlineLevel="0" collapsed="false">
      <c r="A43" s="1" t="s">
        <v>19</v>
      </c>
      <c r="B43" s="1" t="s">
        <v>187</v>
      </c>
      <c r="C43" s="23" t="s">
        <v>43</v>
      </c>
      <c r="D43" s="23"/>
      <c r="E43" s="1" t="s">
        <v>188</v>
      </c>
      <c r="F43" s="1" t="s">
        <v>188</v>
      </c>
      <c r="G43" s="1" t="s">
        <v>26</v>
      </c>
      <c r="H43" s="25"/>
      <c r="I43" s="25"/>
      <c r="J43" s="25" t="s">
        <v>46</v>
      </c>
      <c r="K43" s="20" t="str">
        <f aca="false">B43</f>
        <v>mobilier</v>
      </c>
      <c r="L43" s="21" t="str">
        <f aca="false">IF(C43="","",IF(C43="entier","integer",IF(C43="booléen","boolean",IF(C43="geojson","geojson",IF(C43="décimal","number",IF(C43="date","date","string"))))))</f>
        <v>boolean</v>
      </c>
      <c r="M43" s="21" t="str">
        <f aca="false">IF(LEFT(B43,9)="coord_gps","geopoint",IF(AND(C43="geojson",B43="geom_surf"),"polygon",IF(AND(C43="geojson",B43="geom_pct"),"point",IF(AND(C43="geojson",B43="geom_lin"),"linestring",IF(C43="url","url_pattern",IF(C43="date","%Y-%M-%D",""))))))</f>
        <v/>
      </c>
      <c r="N43" s="2" t="str">
        <f aca="false">IF(G43="","",IF(G43="obligatoire","oui","non"))</f>
        <v>oui</v>
      </c>
      <c r="O43" s="20" t="str">
        <f aca="false">IF(H43="","","oui")</f>
        <v/>
      </c>
      <c r="P43" s="20" t="str">
        <f aca="false">IF(H43="","",H43)</f>
        <v/>
      </c>
      <c r="Q43" s="21" t="str">
        <f aca="false">IF(D43="","","oui")</f>
        <v/>
      </c>
      <c r="S43" s="26"/>
    </row>
    <row r="44" customFormat="false" ht="12.75" hidden="false" customHeight="true" outlineLevel="0" collapsed="false">
      <c r="A44" s="1" t="s">
        <v>19</v>
      </c>
      <c r="B44" s="1" t="s">
        <v>189</v>
      </c>
      <c r="C44" s="23" t="s">
        <v>56</v>
      </c>
      <c r="D44" s="23"/>
      <c r="E44" s="1" t="s">
        <v>190</v>
      </c>
      <c r="F44" s="1" t="s">
        <v>190</v>
      </c>
      <c r="G44" s="1" t="s">
        <v>33</v>
      </c>
      <c r="H44" s="1" t="s">
        <v>189</v>
      </c>
      <c r="I44" s="25"/>
      <c r="J44" s="25" t="s">
        <v>191</v>
      </c>
      <c r="K44" s="20" t="str">
        <f aca="false">B44</f>
        <v>frequence_assise</v>
      </c>
      <c r="L44" s="21" t="str">
        <f aca="false">IF(C44="","",IF(C44="entier","integer",IF(C44="booléen","boolean",IF(C44="geojson","geojson",IF(C44="décimal","number",IF(C44="date","date","string"))))))</f>
        <v>string</v>
      </c>
      <c r="M44" s="21" t="str">
        <f aca="false">IF(LEFT(B44,9)="coord_gps","geopoint",IF(AND(C44="geojson",B44="geom_surf"),"polygon",IF(AND(C44="geojson",B44="geom_pct"),"point",IF(AND(C44="geojson",B44="geom_lin"),"linestring",IF(C44="url","url_pattern",IF(C44="date","%Y-%M-%D",""))))))</f>
        <v/>
      </c>
      <c r="N44" s="2" t="str">
        <f aca="false">IF(G44="","",IF(G44="obligatoire","oui","non"))</f>
        <v>non</v>
      </c>
      <c r="O44" s="20" t="str">
        <f aca="false">IF(H44="","","oui")</f>
        <v>oui</v>
      </c>
      <c r="P44" s="20" t="str">
        <f aca="false">IF(H44="","",H44)</f>
        <v>frequence_assise</v>
      </c>
      <c r="Q44" s="21" t="str">
        <f aca="false">IF(D44="","","oui")</f>
        <v/>
      </c>
      <c r="S44" s="26"/>
    </row>
    <row r="45" customFormat="false" ht="12.75" hidden="false" customHeight="true" outlineLevel="0" collapsed="false">
      <c r="A45" s="1" t="s">
        <v>19</v>
      </c>
      <c r="B45" s="1" t="s">
        <v>192</v>
      </c>
      <c r="C45" s="23" t="s">
        <v>43</v>
      </c>
      <c r="D45" s="23"/>
      <c r="E45" s="1" t="s">
        <v>193</v>
      </c>
      <c r="F45" s="1" t="s">
        <v>193</v>
      </c>
      <c r="G45" s="1" t="s">
        <v>26</v>
      </c>
      <c r="I45" s="25" t="s">
        <v>194</v>
      </c>
      <c r="J45" s="25" t="s">
        <v>194</v>
      </c>
      <c r="K45" s="20" t="s">
        <v>192</v>
      </c>
      <c r="L45" s="21" t="str">
        <f aca="false">IF(C45="","",IF(C45="entier","integer",IF(C45="booléen","boolean",IF(C45="geojson","geojson",IF(C45="décimal","number",IF(C45="date","date","string"))))))</f>
        <v>boolean</v>
      </c>
      <c r="M45" s="21"/>
      <c r="N45" s="2" t="s">
        <v>46</v>
      </c>
      <c r="O45" s="20"/>
      <c r="P45" s="20"/>
      <c r="Q45" s="21"/>
      <c r="S45" s="26"/>
    </row>
    <row r="46" customFormat="false" ht="12.75" hidden="false" customHeight="true" outlineLevel="0" collapsed="false">
      <c r="A46" s="1" t="s">
        <v>19</v>
      </c>
      <c r="B46" s="30" t="s">
        <v>195</v>
      </c>
      <c r="C46" s="23" t="s">
        <v>56</v>
      </c>
      <c r="D46" s="23" t="s">
        <v>46</v>
      </c>
      <c r="E46" s="1" t="s">
        <v>196</v>
      </c>
      <c r="F46" s="1" t="s">
        <v>196</v>
      </c>
      <c r="G46" s="1" t="s">
        <v>26</v>
      </c>
      <c r="H46" s="41" t="s">
        <v>162</v>
      </c>
      <c r="J46" s="1" t="s">
        <v>197</v>
      </c>
      <c r="K46" s="20" t="str">
        <f aca="false">B46</f>
        <v>type_sol_liaison</v>
      </c>
      <c r="L46" s="21" t="str">
        <f aca="false">IF(C46="","",IF(C46="entier","integer",IF(C46="booléen","boolean",IF(C46="geojson","geojson",IF(C46="décimal","number",IF(C46="date","date","string"))))))</f>
        <v>string</v>
      </c>
      <c r="M46" s="21" t="str">
        <f aca="false">IF(LEFT(B46,9)="coord_gps","geopoint",IF(AND(C46="geojson",B46="geom_surf"),"polygon",IF(AND(C46="geojson",B46="geom_pct"),"point",IF(AND(C46="geojson",B46="geom_lin"),"linestring",IF(C46="url","url_pattern",IF(C46="date","%Y-%M-%D",""))))))</f>
        <v/>
      </c>
      <c r="N46" s="2" t="str">
        <f aca="false">IF(G46="","",IF(G46="obligatoire","oui","non"))</f>
        <v>oui</v>
      </c>
      <c r="O46" s="20" t="str">
        <f aca="false">IF(H46="","","oui")</f>
        <v>oui</v>
      </c>
      <c r="P46" s="20" t="str">
        <f aca="false">IF(H46="","",H46)</f>
        <v>type_sol</v>
      </c>
      <c r="Q46" s="21" t="str">
        <f aca="false">IF(D46="","","oui")</f>
        <v>oui</v>
      </c>
      <c r="S46" s="26"/>
      <c r="T46" s="26"/>
    </row>
    <row r="47" customFormat="false" ht="12.75" hidden="false" customHeight="true" outlineLevel="0" collapsed="false">
      <c r="A47" s="1" t="s">
        <v>19</v>
      </c>
      <c r="B47" s="1" t="s">
        <v>198</v>
      </c>
      <c r="C47" s="23" t="s">
        <v>35</v>
      </c>
      <c r="D47" s="23"/>
      <c r="E47" s="1" t="s">
        <v>199</v>
      </c>
      <c r="F47" s="1" t="s">
        <v>200</v>
      </c>
      <c r="G47" s="1" t="s">
        <v>26</v>
      </c>
      <c r="H47" s="25"/>
      <c r="I47" s="25"/>
      <c r="J47" s="25" t="n">
        <v>100</v>
      </c>
      <c r="K47" s="20" t="str">
        <f aca="false">B47</f>
        <v>longueur_liaison</v>
      </c>
      <c r="L47" s="21" t="str">
        <f aca="false">IF(C47="","",IF(C47="entier","integer",IF(C47="booléen","boolean",IF(C47="geojson","geojson",IF(C47="décimal","number",IF(C47="date","date","string"))))))</f>
        <v>integer</v>
      </c>
      <c r="M47" s="21" t="str">
        <f aca="false">IF(LEFT(B47,9)="coord_gps","geopoint",IF(AND(C47="geojson",B47="geom_surf"),"polygon",IF(AND(C47="geojson",B47="geom_pct"),"point",IF(AND(C47="geojson",B47="geom_lin"),"linestring",IF(C47="url","url_pattern",IF(C47="date","%Y-%M-%D",""))))))</f>
        <v/>
      </c>
      <c r="N47" s="2" t="str">
        <f aca="false">IF(G47="","",IF(G47="obligatoire","oui","non"))</f>
        <v>oui</v>
      </c>
      <c r="O47" s="20" t="str">
        <f aca="false">IF(H47="","","oui")</f>
        <v/>
      </c>
      <c r="P47" s="20" t="str">
        <f aca="false">IF(H47="","",H47)</f>
        <v/>
      </c>
      <c r="Q47" s="21" t="str">
        <f aca="false">IF(D47="","","oui")</f>
        <v/>
      </c>
      <c r="S47" s="26"/>
      <c r="T47" s="26"/>
    </row>
    <row r="48" customFormat="false" ht="12.75" hidden="false" customHeight="true" outlineLevel="0" collapsed="false">
      <c r="A48" s="1" t="s">
        <v>19</v>
      </c>
      <c r="B48" s="1" t="s">
        <v>201</v>
      </c>
      <c r="C48" s="23" t="s">
        <v>141</v>
      </c>
      <c r="D48" s="23"/>
      <c r="E48" s="40" t="s">
        <v>202</v>
      </c>
      <c r="F48" s="40" t="s">
        <v>203</v>
      </c>
      <c r="G48" s="1" t="s">
        <v>26</v>
      </c>
      <c r="H48" s="25"/>
      <c r="I48" s="25"/>
      <c r="J48" s="25" t="n">
        <v>50</v>
      </c>
      <c r="K48" s="20" t="str">
        <f aca="false">B48</f>
        <v>largeur_min_liaison</v>
      </c>
      <c r="L48" s="21" t="str">
        <f aca="false">IF(C48="","",IF(C48="entier","integer",IF(C48="booléen","boolean",IF(C48="geojson","geojson",IF(C48="décimal","number",IF(C48="date","date","string"))))))</f>
        <v>number</v>
      </c>
      <c r="M48" s="21" t="str">
        <f aca="false">IF(LEFT(B48,9)="coord_gps","geopoint",IF(AND(C48="geojson",B48="geom_surf"),"polygon",IF(AND(C48="geojson",B48="geom_pct"),"point",IF(AND(C48="geojson",B48="geom_lin"),"linestring",IF(C48="url","url_pattern",IF(C48="date","%Y-%M-%D",""))))))</f>
        <v/>
      </c>
      <c r="N48" s="2" t="str">
        <f aca="false">IF(G48="","",IF(G48="obligatoire","oui","non"))</f>
        <v>oui</v>
      </c>
      <c r="O48" s="20" t="str">
        <f aca="false">IF(H48="","","oui")</f>
        <v/>
      </c>
      <c r="P48" s="20" t="str">
        <f aca="false">IF(H48="","",H48)</f>
        <v/>
      </c>
      <c r="Q48" s="21" t="str">
        <f aca="false">IF(D48="","","oui")</f>
        <v/>
      </c>
      <c r="S48" s="26"/>
      <c r="T48" s="26"/>
    </row>
    <row r="49" customFormat="false" ht="12.75" hidden="false" customHeight="true" outlineLevel="0" collapsed="false">
      <c r="A49" s="1" t="s">
        <v>19</v>
      </c>
      <c r="B49" s="1" t="s">
        <v>204</v>
      </c>
      <c r="C49" s="23" t="s">
        <v>56</v>
      </c>
      <c r="D49" s="23"/>
      <c r="E49" s="1" t="s">
        <v>205</v>
      </c>
      <c r="F49" s="1" t="s">
        <v>206</v>
      </c>
      <c r="G49" s="1" t="s">
        <v>26</v>
      </c>
      <c r="H49" s="25" t="s">
        <v>147</v>
      </c>
      <c r="I49" s="1" t="s">
        <v>207</v>
      </c>
      <c r="J49" s="1" t="s">
        <v>148</v>
      </c>
      <c r="K49" s="20" t="str">
        <f aca="false">B49</f>
        <v>pente_max_liaison</v>
      </c>
      <c r="L49" s="21" t="str">
        <f aca="false">IF(C49="","",IF(C49="entier","integer",IF(C49="booléen","boolean",IF(C49="geojson","geojson",IF(C49="décimal","number",IF(C49="date","date","string"))))))</f>
        <v>string</v>
      </c>
      <c r="M49" s="21" t="str">
        <f aca="false">IF(LEFT(B49,9)="coord_gps","geopoint",IF(AND(C49="geojson",B49="geom_surf"),"polygon",IF(AND(C49="geojson",B49="geom_pct"),"point",IF(AND(C49="geojson",B49="geom_lin"),"linestring",IF(C49="url","url_pattern",IF(C49="date","%Y-%M-%D",""))))))</f>
        <v/>
      </c>
      <c r="N49" s="2" t="str">
        <f aca="false">IF(G49="","",IF(G49="obligatoire","oui","non"))</f>
        <v>oui</v>
      </c>
      <c r="O49" s="20" t="str">
        <f aca="false">IF(H49="","","oui")</f>
        <v>oui</v>
      </c>
      <c r="P49" s="20" t="str">
        <f aca="false">IF(H49="","",H49)</f>
        <v>pente</v>
      </c>
      <c r="Q49" s="21" t="str">
        <f aca="false">IF(D49="","","oui")</f>
        <v/>
      </c>
      <c r="S49" s="26"/>
      <c r="T49" s="26"/>
    </row>
    <row r="50" customFormat="false" ht="12.75" hidden="false" customHeight="true" outlineLevel="0" collapsed="false">
      <c r="A50" s="1" t="s">
        <v>19</v>
      </c>
      <c r="B50" s="30" t="s">
        <v>208</v>
      </c>
      <c r="C50" s="23" t="s">
        <v>56</v>
      </c>
      <c r="D50" s="23"/>
      <c r="E50" s="1" t="s">
        <v>209</v>
      </c>
      <c r="F50" s="1" t="s">
        <v>210</v>
      </c>
      <c r="G50" s="1" t="s">
        <v>26</v>
      </c>
      <c r="H50" s="32" t="s">
        <v>152</v>
      </c>
      <c r="I50" s="1" t="s">
        <v>153</v>
      </c>
      <c r="J50" s="1" t="s">
        <v>207</v>
      </c>
      <c r="K50" s="20" t="str">
        <f aca="false">B50</f>
        <v>devers_max_liaison</v>
      </c>
      <c r="L50" s="21" t="str">
        <f aca="false">IF(C50="","",IF(C50="entier","integer",IF(C50="booléen","boolean",IF(C50="geojson","geojson",IF(C50="décimal","number",IF(C50="date","date","string"))))))</f>
        <v>string</v>
      </c>
      <c r="M50" s="21" t="str">
        <f aca="false">IF(LEFT(B50,9)="coord_gps","geopoint",IF(AND(C50="geojson",B50="geom_surf"),"polygon",IF(AND(C50="geojson",B50="geom_pct"),"point",IF(AND(C50="geojson",B50="geom_lin"),"linestring",IF(C50="url","url_pattern",IF(C50="date","%Y-%M-%D",""))))))</f>
        <v/>
      </c>
      <c r="N50" s="2" t="str">
        <f aca="false">IF(G50="","",IF(G50="obligatoire","oui","non"))</f>
        <v>oui</v>
      </c>
      <c r="O50" s="20" t="str">
        <f aca="false">IF(H50="","","oui")</f>
        <v>oui</v>
      </c>
      <c r="P50" s="20" t="str">
        <f aca="false">IF(H50="","",H50)</f>
        <v>devers</v>
      </c>
      <c r="Q50" s="21" t="str">
        <f aca="false">IF(D50="","","oui")</f>
        <v/>
      </c>
      <c r="S50" s="26"/>
      <c r="T50" s="26"/>
    </row>
    <row r="51" customFormat="false" ht="12.75" hidden="false" customHeight="true" outlineLevel="0" collapsed="false">
      <c r="A51" s="1" t="s">
        <v>19</v>
      </c>
      <c r="B51" s="30" t="s">
        <v>211</v>
      </c>
      <c r="C51" s="23" t="s">
        <v>56</v>
      </c>
      <c r="D51" s="23"/>
      <c r="E51" s="1" t="s">
        <v>212</v>
      </c>
      <c r="F51" s="1" t="s">
        <v>213</v>
      </c>
      <c r="G51" s="1" t="s">
        <v>26</v>
      </c>
      <c r="H51" s="30" t="s">
        <v>180</v>
      </c>
      <c r="I51" s="1" t="s">
        <v>178</v>
      </c>
      <c r="J51" s="1" t="s">
        <v>183</v>
      </c>
      <c r="K51" s="20" t="str">
        <f aca="false">B51</f>
        <v>continuite_repere_liaison</v>
      </c>
      <c r="L51" s="21" t="str">
        <f aca="false">IF(C51="","",IF(C51="entier","integer",IF(C51="booléen","boolean",IF(C51="geojson","geojson",IF(C51="décimal","number",IF(C51="date","date","string"))))))</f>
        <v>string</v>
      </c>
      <c r="M51" s="21" t="str">
        <f aca="false">IF(LEFT(B51,9)="coord_gps","geopoint",IF(AND(C51="geojson",B51="geom_surf"),"polygon",IF(AND(C51="geojson",B51="geom_pct"),"point",IF(AND(C51="geojson",B51="geom_lin"),"linestring",IF(C51="url","url_pattern",IF(C51="date","%Y-%M-%D",""))))))</f>
        <v/>
      </c>
      <c r="N51" s="2" t="str">
        <f aca="false">IF(G51="","",IF(G51="obligatoire","oui","non"))</f>
        <v>oui</v>
      </c>
      <c r="O51" s="20" t="str">
        <f aca="false">IF(H51="","","oui")</f>
        <v>oui</v>
      </c>
      <c r="P51" s="20" t="str">
        <f aca="false">IF(H51="","",H51)</f>
        <v>continuite_repere</v>
      </c>
      <c r="Q51" s="21" t="str">
        <f aca="false">IF(D51="","","oui")</f>
        <v/>
      </c>
      <c r="S51" s="26"/>
    </row>
    <row r="52" customFormat="false" ht="12.75" hidden="false" customHeight="true" outlineLevel="0" collapsed="false">
      <c r="A52" s="1" t="s">
        <v>19</v>
      </c>
      <c r="B52" s="1" t="s">
        <v>214</v>
      </c>
      <c r="C52" s="23" t="s">
        <v>48</v>
      </c>
      <c r="D52" s="28"/>
      <c r="E52" s="1" t="s">
        <v>215</v>
      </c>
      <c r="F52" s="1" t="s">
        <v>216</v>
      </c>
      <c r="G52" s="1" t="s">
        <v>33</v>
      </c>
      <c r="H52" s="25"/>
      <c r="I52" s="25"/>
      <c r="J52" s="44" t="n">
        <v>43896</v>
      </c>
      <c r="K52" s="20" t="str">
        <f aca="false">B52</f>
        <v>date_creation</v>
      </c>
      <c r="L52" s="21" t="str">
        <f aca="false">IF(C52="","",IF(C52="entier","integer",IF(C52="booléen","boolean",IF(C52="geojson","geojson",IF(C52="décimal","number",IF(C52="date","date","string"))))))</f>
        <v>date</v>
      </c>
      <c r="M52" s="21"/>
      <c r="N52" s="2" t="str">
        <f aca="false">IF(G52="","",IF(G52="obligatoire","oui","non"))</f>
        <v>non</v>
      </c>
      <c r="O52" s="20" t="str">
        <f aca="false">IF(H52="","","oui")</f>
        <v/>
      </c>
      <c r="P52" s="20" t="str">
        <f aca="false">IF(H52="","",H52)</f>
        <v/>
      </c>
      <c r="Q52" s="21" t="str">
        <f aca="false">IF(D52="","","oui")</f>
        <v/>
      </c>
      <c r="S52" s="26"/>
    </row>
    <row r="53" customFormat="false" ht="12.75" hidden="false" customHeight="true" outlineLevel="0" collapsed="false">
      <c r="A53" s="1" t="s">
        <v>19</v>
      </c>
      <c r="B53" s="1" t="s">
        <v>217</v>
      </c>
      <c r="C53" s="23" t="s">
        <v>48</v>
      </c>
      <c r="D53" s="28"/>
      <c r="E53" s="1" t="s">
        <v>218</v>
      </c>
      <c r="F53" s="1" t="s">
        <v>219</v>
      </c>
      <c r="G53" s="1" t="s">
        <v>33</v>
      </c>
      <c r="H53" s="25"/>
      <c r="I53" s="25"/>
      <c r="J53" s="44" t="n">
        <v>46037</v>
      </c>
      <c r="K53" s="20" t="str">
        <f aca="false">B53</f>
        <v>date_actualisation</v>
      </c>
      <c r="L53" s="21" t="str">
        <f aca="false">IF(C53="","",IF(C53="entier","integer",IF(C53="booléen","boolean",IF(C53="geojson","geojson",IF(C53="décimal","number",IF(C53="date","date","string"))))))</f>
        <v>date</v>
      </c>
      <c r="M53" s="21"/>
      <c r="N53" s="2" t="str">
        <f aca="false">IF(G53="","",IF(G53="obligatoire","oui","non"))</f>
        <v>non</v>
      </c>
      <c r="O53" s="20" t="str">
        <f aca="false">IF(H53="","","oui")</f>
        <v/>
      </c>
      <c r="P53" s="20" t="str">
        <f aca="false">IF(H53="","",H53)</f>
        <v/>
      </c>
      <c r="Q53" s="21" t="str">
        <f aca="false">IF(D53="","","oui")</f>
        <v/>
      </c>
      <c r="S53" s="26"/>
    </row>
    <row r="54" customFormat="false" ht="12.75" hidden="false" customHeight="true" outlineLevel="0" collapsed="false">
      <c r="A54" s="1" t="s">
        <v>19</v>
      </c>
      <c r="B54" s="23" t="s">
        <v>220</v>
      </c>
      <c r="C54" s="23" t="s">
        <v>52</v>
      </c>
      <c r="D54" s="24"/>
      <c r="E54" s="1" t="s">
        <v>221</v>
      </c>
      <c r="F54" s="1" t="s">
        <v>222</v>
      </c>
      <c r="G54" s="1" t="s">
        <v>26</v>
      </c>
      <c r="H54" s="25"/>
      <c r="I54" s="25"/>
      <c r="J54" s="35" t="s">
        <v>223</v>
      </c>
      <c r="K54" s="20" t="str">
        <f aca="false">B54</f>
        <v>producteur</v>
      </c>
      <c r="L54" s="21" t="str">
        <f aca="false">IF(C54="","",IF(C54="entier","integer",IF(C54="booléen","boolean",IF(C54="geojson","geojson",IF(C54="décimal","number",IF(C54="date","date","string"))))))</f>
        <v>string</v>
      </c>
      <c r="M54" s="21" t="str">
        <f aca="false">IF(LEFT(B54,9)="coord_gps","geopoint",IF(AND(C54="geojson",B54="geom_surf"),"polygon",IF(AND(C54="geojson",B54="geom_pct"),"point",IF(AND(C54="geojson",B54="geom_lin"),"linestring",IF(C54="url","url_pattern",IF(C54="date","%Y-%M-%D",""))))))</f>
        <v/>
      </c>
      <c r="N54" s="2" t="str">
        <f aca="false">IF(G54="","",IF(G54="obligatoire","oui","non"))</f>
        <v>oui</v>
      </c>
      <c r="O54" s="20" t="str">
        <f aca="false">IF(H54="","","oui")</f>
        <v/>
      </c>
      <c r="P54" s="20" t="str">
        <f aca="false">IF(H54="","",H54)</f>
        <v/>
      </c>
      <c r="Q54" s="21" t="str">
        <f aca="false">IF(D54="","","oui")</f>
        <v/>
      </c>
      <c r="S54" s="26"/>
    </row>
    <row r="55" customFormat="false" ht="12.75" hidden="false" customHeight="true" outlineLevel="0" collapsed="false">
      <c r="A55" s="1" t="s">
        <v>19</v>
      </c>
      <c r="B55" s="23" t="s">
        <v>224</v>
      </c>
      <c r="C55" s="23" t="s">
        <v>52</v>
      </c>
      <c r="D55" s="24"/>
      <c r="E55" s="1" t="s">
        <v>225</v>
      </c>
      <c r="F55" s="1" t="s">
        <v>226</v>
      </c>
      <c r="G55" s="1" t="s">
        <v>26</v>
      </c>
      <c r="H55" s="25"/>
      <c r="I55" s="25"/>
      <c r="J55" s="45" t="s">
        <v>227</v>
      </c>
      <c r="K55" s="20" t="str">
        <f aca="false">B55</f>
        <v>contact</v>
      </c>
      <c r="L55" s="21" t="str">
        <f aca="false">IF(C55="","",IF(C55="entier","integer",IF(C55="booléen","boolean",IF(C55="geojson","geojson",IF(C55="décimal","number",IF(C55="date","date","string"))))))</f>
        <v>string</v>
      </c>
      <c r="M55" s="21" t="str">
        <f aca="false">IF(LEFT(B55,9)="coord_gps","geopoint",IF(AND(C55="geojson",B55="geom_surf"),"polygon",IF(AND(C55="geojson",B55="geom_pct"),"point",IF(AND(C55="geojson",B55="geom_lin"),"linestring",IF(C55="url","url_pattern",IF(C55="date","%Y-%M-%D",""))))))</f>
        <v/>
      </c>
      <c r="N55" s="2" t="str">
        <f aca="false">IF(G55="","",IF(G55="obligatoire","oui","non"))</f>
        <v>oui</v>
      </c>
      <c r="O55" s="20" t="str">
        <f aca="false">IF(H55="","","oui")</f>
        <v/>
      </c>
      <c r="P55" s="20" t="str">
        <f aca="false">IF(H55="","",H55)</f>
        <v/>
      </c>
      <c r="Q55" s="21" t="str">
        <f aca="false">IF(D55="","","oui")</f>
        <v/>
      </c>
      <c r="S55" s="26"/>
    </row>
    <row r="56" customFormat="false" ht="12.75" hidden="false" customHeight="true" outlineLevel="0" collapsed="false">
      <c r="A56" s="1" t="s">
        <v>19</v>
      </c>
      <c r="B56" s="1" t="s">
        <v>228</v>
      </c>
      <c r="C56" s="23" t="s">
        <v>73</v>
      </c>
      <c r="D56" s="23"/>
      <c r="E56" s="1" t="s">
        <v>229</v>
      </c>
      <c r="F56" s="1" t="s">
        <v>230</v>
      </c>
      <c r="G56" s="1" t="s">
        <v>26</v>
      </c>
      <c r="H56" s="25"/>
      <c r="I56" s="25"/>
      <c r="J56" s="25" t="s">
        <v>231</v>
      </c>
      <c r="K56" s="20" t="str">
        <f aca="false">B56</f>
        <v>geom_lin</v>
      </c>
      <c r="L56" s="21" t="str">
        <f aca="false">IF(C56="","",IF(C56="entier","integer",IF(C56="booléen","boolean",IF(C56="geojson","geojson",IF(C56="décimal","number",IF(C56="date","date","string"))))))</f>
        <v>geojson</v>
      </c>
      <c r="M56" s="21" t="str">
        <f aca="false">IF(LEFT(B56,9)="coord_gps","geopoint",IF(AND(C56="geojson",B56="geom_surf"),"polygon",IF(AND(C56="geojson",B56="geom_pct"),"point",IF(AND(C56="geojson",B56="geom_lin"),"linestring",IF(C56="url","url_pattern",IF(C56="date","%Y-%M-%D",""))))))</f>
        <v>linestring</v>
      </c>
      <c r="N56" s="2" t="str">
        <f aca="false">IF(G56="","",IF(G56="obligatoire","oui","non"))</f>
        <v>oui</v>
      </c>
      <c r="O56" s="20" t="str">
        <f aca="false">IF(H56="","","oui")</f>
        <v/>
      </c>
      <c r="P56" s="20" t="str">
        <f aca="false">IF(H56="","",H56)</f>
        <v/>
      </c>
      <c r="Q56" s="21" t="str">
        <f aca="false">IF(D56="","","oui")</f>
        <v/>
      </c>
      <c r="S56" s="26"/>
    </row>
    <row r="57" customFormat="false" ht="12.75" hidden="false" customHeight="true" outlineLevel="0" collapsed="false">
      <c r="C57" s="23"/>
      <c r="D57" s="23"/>
      <c r="H57" s="25"/>
      <c r="I57" s="25"/>
      <c r="J57" s="25"/>
      <c r="K57" s="20"/>
      <c r="L57" s="21" t="str">
        <f aca="false">IF(C57="","",IF(C57="entier","integer",IF(C57="booléen","boolean",IF(C57="geojson","geojson",IF(C57="décimal","number",IF(C57="date","date","string"))))))</f>
        <v/>
      </c>
      <c r="M57" s="21" t="str">
        <f aca="false">IF(LEFT(B57,9)="coord_gps","geopoint",IF(AND(C57="geojson",B57="geom_surf"),"polygon",IF(AND(C57="geojson",B57="geom_pct"),"point",IF(AND(C57="geojson",B57="geom_lin"),"linestring",IF(C57="url","url_pattern",IF(C57="date","%Y-%M-%D",""))))))</f>
        <v/>
      </c>
      <c r="N57" s="2" t="str">
        <f aca="false">IF(G57="","",IF(G57="obligatoire","oui","non"))</f>
        <v/>
      </c>
      <c r="O57" s="20" t="str">
        <f aca="false">IF(H57="","","oui")</f>
        <v/>
      </c>
      <c r="P57" s="20" t="str">
        <f aca="false">IF(H57="","",H57)</f>
        <v/>
      </c>
      <c r="Q57" s="21" t="str">
        <f aca="false">IF(D57="","","oui")</f>
        <v/>
      </c>
      <c r="S57" s="26"/>
    </row>
    <row r="58" customFormat="false" ht="12.75" hidden="false" customHeight="true" outlineLevel="0" collapsed="false">
      <c r="A58" s="46" t="s">
        <v>232</v>
      </c>
      <c r="B58" s="47"/>
      <c r="C58" s="48"/>
      <c r="D58" s="48"/>
      <c r="E58" s="10"/>
      <c r="F58" s="11"/>
      <c r="G58" s="47"/>
      <c r="H58" s="49"/>
      <c r="I58" s="49"/>
      <c r="J58" s="49"/>
      <c r="K58" s="14"/>
      <c r="L58" s="14"/>
      <c r="M58" s="14"/>
      <c r="N58" s="48"/>
      <c r="O58" s="48"/>
      <c r="P58" s="48"/>
      <c r="Q58" s="48"/>
      <c r="R58" s="47"/>
      <c r="S58" s="50"/>
      <c r="T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</row>
    <row r="59" customFormat="false" ht="12.75" hidden="false" customHeight="true" outlineLevel="0" collapsed="false">
      <c r="A59" s="1" t="s">
        <v>232</v>
      </c>
      <c r="B59" s="17" t="s">
        <v>233</v>
      </c>
      <c r="C59" s="18" t="s">
        <v>23</v>
      </c>
      <c r="D59" s="18"/>
      <c r="E59" s="18" t="s">
        <v>234</v>
      </c>
      <c r="F59" s="18" t="s">
        <v>235</v>
      </c>
      <c r="G59" s="1" t="s">
        <v>26</v>
      </c>
      <c r="H59" s="19"/>
      <c r="I59" s="19"/>
      <c r="J59" s="19" t="s">
        <v>236</v>
      </c>
      <c r="K59" s="20" t="str">
        <f aca="false">B59</f>
        <v>id_troncon</v>
      </c>
      <c r="L59" s="21" t="str">
        <f aca="false">IF(C59="","",IF(C59="entier","integer",IF(C59="booléen","boolean",IF(C59="geojson","geojson",IF(C59="décimal","number",IF(C59="date","date","string"))))))</f>
        <v>string</v>
      </c>
      <c r="M59" s="21" t="str">
        <f aca="false">IF(LEFT(B59,9)="coord_gps","geopoint",IF(AND(C59="geojson",B59="geom_surf"),"polygon",IF(AND(C59="geojson",B59="geom_pct"),"point",IF(AND(C59="geojson",B59="geom_lin"),"linestring",IF(C59="url","url_pattern",IF(C59="date","%Y-%M-%D",""))))))</f>
        <v/>
      </c>
      <c r="N59" s="2" t="str">
        <f aca="false">IF(G59="","",IF(G59="obligatoire","oui","non"))</f>
        <v>oui</v>
      </c>
      <c r="O59" s="20" t="str">
        <f aca="false">IF(H59="","","oui")</f>
        <v/>
      </c>
      <c r="P59" s="20" t="str">
        <f aca="false">IF(H59="","",H59)</f>
        <v/>
      </c>
      <c r="Q59" s="21" t="str">
        <f aca="false">IF(D59="","","oui")</f>
        <v/>
      </c>
      <c r="R59" s="22" t="s">
        <v>28</v>
      </c>
      <c r="S59" s="22"/>
      <c r="T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customFormat="false" ht="12.75" hidden="false" customHeight="true" outlineLevel="0" collapsed="false">
      <c r="A60" s="1" t="s">
        <v>232</v>
      </c>
      <c r="B60" s="17" t="s">
        <v>34</v>
      </c>
      <c r="C60" s="18" t="s">
        <v>23</v>
      </c>
      <c r="D60" s="18"/>
      <c r="E60" s="18" t="s">
        <v>237</v>
      </c>
      <c r="F60" s="18" t="s">
        <v>238</v>
      </c>
      <c r="G60" s="1" t="s">
        <v>33</v>
      </c>
      <c r="H60" s="19"/>
      <c r="I60" s="19"/>
      <c r="J60" s="19"/>
      <c r="K60" s="20" t="str">
        <f aca="false">B60</f>
        <v>id_osm</v>
      </c>
      <c r="L60" s="21" t="str">
        <f aca="false">IF(C60="","",IF(C60="entier","integer",IF(C60="booléen","boolean",IF(C60="geojson","geojson",IF(C60="décimal","number",IF(C60="date","date","string"))))))</f>
        <v>string</v>
      </c>
      <c r="M60" s="21" t="str">
        <f aca="false">IF(LEFT(B60,9)="coord_gps","geopoint",IF(AND(C60="geojson",B60="geom_surf"),"polygon",IF(AND(C60="geojson",B60="geom_pct"),"point",IF(AND(C60="geojson",B60="geom_lin"),"linestring",IF(C60="url","url_pattern",IF(C60="date","%Y-%M-%D",""))))))</f>
        <v/>
      </c>
      <c r="N60" s="2" t="str">
        <f aca="false">IF(G60="","",IF(G60="obligatoire","oui","non"))</f>
        <v>non</v>
      </c>
      <c r="O60" s="20" t="str">
        <f aca="false">IF(H60="","","oui")</f>
        <v/>
      </c>
      <c r="P60" s="20" t="str">
        <f aca="false">IF(H60="","",H60)</f>
        <v/>
      </c>
      <c r="Q60" s="21" t="str">
        <f aca="false">IF(D60="","","oui")</f>
        <v/>
      </c>
      <c r="R60" s="22"/>
      <c r="S60" s="22"/>
      <c r="T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customFormat="false" ht="12.75" hidden="false" customHeight="true" outlineLevel="0" collapsed="false">
      <c r="A61" s="1" t="s">
        <v>232</v>
      </c>
      <c r="B61" s="1" t="s">
        <v>239</v>
      </c>
      <c r="C61" s="23" t="s">
        <v>56</v>
      </c>
      <c r="D61" s="23"/>
      <c r="E61" s="18" t="s">
        <v>240</v>
      </c>
      <c r="F61" s="18" t="s">
        <v>240</v>
      </c>
      <c r="G61" s="1" t="s">
        <v>26</v>
      </c>
      <c r="H61" s="1" t="s">
        <v>239</v>
      </c>
      <c r="I61" s="25"/>
      <c r="J61" s="25" t="s">
        <v>241</v>
      </c>
      <c r="K61" s="20" t="str">
        <f aca="false">B61</f>
        <v>type_troncon</v>
      </c>
      <c r="L61" s="21" t="str">
        <f aca="false">IF(C61="","",IF(C61="entier","integer",IF(C61="booléen","boolean",IF(C61="geojson","geojson",IF(C61="décimal","number",IF(C61="date","date","string"))))))</f>
        <v>string</v>
      </c>
      <c r="M61" s="21" t="str">
        <f aca="false">IF(LEFT(B61,9)="coord_gps","geopoint",IF(AND(C61="geojson",B61="geom_surf"),"polygon",IF(AND(C61="geojson",B61="geom_pct"),"point",IF(AND(C61="geojson",B61="geom_lin"),"linestring",IF(C61="url","url_pattern",IF(C61="date","%Y-%M-%D",""))))))</f>
        <v/>
      </c>
      <c r="N61" s="2" t="str">
        <f aca="false">IF(G61="","",IF(G61="obligatoire","oui","non"))</f>
        <v>oui</v>
      </c>
      <c r="O61" s="20" t="str">
        <f aca="false">IF(H61="","","oui")</f>
        <v>oui</v>
      </c>
      <c r="P61" s="20" t="str">
        <f aca="false">IF(H61="","",H61)</f>
        <v>type_troncon</v>
      </c>
      <c r="Q61" s="21" t="str">
        <f aca="false">IF(D61="","","oui")</f>
        <v/>
      </c>
      <c r="S61" s="26"/>
    </row>
    <row r="62" customFormat="false" ht="12.75" hidden="false" customHeight="true" outlineLevel="0" collapsed="false">
      <c r="A62" s="1" t="s">
        <v>232</v>
      </c>
      <c r="B62" s="1" t="s">
        <v>140</v>
      </c>
      <c r="C62" s="23" t="s">
        <v>141</v>
      </c>
      <c r="D62" s="23"/>
      <c r="E62" s="18" t="s">
        <v>242</v>
      </c>
      <c r="F62" s="18" t="s">
        <v>243</v>
      </c>
      <c r="G62" s="1" t="s">
        <v>26</v>
      </c>
      <c r="H62" s="25"/>
      <c r="I62" s="25"/>
      <c r="J62" s="25" t="n">
        <v>0.7</v>
      </c>
      <c r="K62" s="20" t="str">
        <f aca="false">B62</f>
        <v>largeur_min</v>
      </c>
      <c r="L62" s="21" t="str">
        <f aca="false">IF(C62="","",IF(C62="entier","integer",IF(C62="booléen","boolean",IF(C62="geojson","geojson",IF(C62="décimal","number",IF(C62="date","date","string"))))))</f>
        <v>number</v>
      </c>
      <c r="M62" s="21" t="str">
        <f aca="false">IF(LEFT(B62,9)="coord_gps","geopoint",IF(AND(C62="geojson",B62="geom_surf"),"polygon",IF(AND(C62="geojson",B62="geom_pct"),"point",IF(AND(C62="geojson",B62="geom_lin"),"linestring",IF(C62="url","url_pattern",IF(C62="date","%Y-%M-%D",""))))))</f>
        <v/>
      </c>
      <c r="N62" s="2" t="str">
        <f aca="false">IF(G62="","",IF(G62="obligatoire","oui","non"))</f>
        <v>oui</v>
      </c>
      <c r="O62" s="20" t="str">
        <f aca="false">IF(H62="","","oui")</f>
        <v/>
      </c>
      <c r="P62" s="20" t="str">
        <f aca="false">IF(H62="","",H62)</f>
        <v/>
      </c>
      <c r="Q62" s="21" t="str">
        <f aca="false">IF(D62="","","oui")</f>
        <v/>
      </c>
      <c r="S62" s="26"/>
    </row>
    <row r="63" customFormat="false" ht="12.75" hidden="false" customHeight="true" outlineLevel="0" collapsed="false">
      <c r="A63" s="1" t="s">
        <v>232</v>
      </c>
      <c r="B63" s="1" t="s">
        <v>144</v>
      </c>
      <c r="C63" s="23" t="s">
        <v>56</v>
      </c>
      <c r="D63" s="23"/>
      <c r="E63" s="18" t="s">
        <v>146</v>
      </c>
      <c r="F63" s="18" t="s">
        <v>244</v>
      </c>
      <c r="G63" s="1" t="s">
        <v>26</v>
      </c>
      <c r="H63" s="25" t="s">
        <v>147</v>
      </c>
      <c r="I63" s="25"/>
      <c r="J63" s="25" t="s">
        <v>245</v>
      </c>
      <c r="K63" s="20" t="str">
        <f aca="false">B63</f>
        <v>pente_max</v>
      </c>
      <c r="L63" s="21" t="str">
        <f aca="false">IF(C63="","",IF(C63="entier","integer",IF(C63="booléen","boolean",IF(C63="geojson","geojson",IF(C63="décimal","number",IF(C63="date","date","string"))))))</f>
        <v>string</v>
      </c>
      <c r="M63" s="21" t="str">
        <f aca="false">IF(LEFT(B63,9)="coord_gps","geopoint",IF(AND(C63="geojson",B63="geom_surf"),"polygon",IF(AND(C63="geojson",B63="geom_pct"),"point",IF(AND(C63="geojson",B63="geom_lin"),"linestring",IF(C63="url","url_pattern",IF(C63="date","%Y-%M-%D",""))))))</f>
        <v/>
      </c>
      <c r="N63" s="2" t="str">
        <f aca="false">IF(G63="","",IF(G63="obligatoire","oui","non"))</f>
        <v>oui</v>
      </c>
      <c r="O63" s="20" t="str">
        <f aca="false">IF(H63="","","oui")</f>
        <v>oui</v>
      </c>
      <c r="P63" s="20" t="str">
        <f aca="false">IF(H63="","",H63)</f>
        <v>pente</v>
      </c>
      <c r="Q63" s="21" t="str">
        <f aca="false">IF(D63="","","oui")</f>
        <v/>
      </c>
      <c r="S63" s="26"/>
    </row>
    <row r="64" customFormat="false" ht="12.75" hidden="false" customHeight="true" outlineLevel="0" collapsed="false">
      <c r="A64" s="1" t="s">
        <v>232</v>
      </c>
      <c r="B64" s="30" t="s">
        <v>149</v>
      </c>
      <c r="C64" s="23" t="s">
        <v>56</v>
      </c>
      <c r="D64" s="23"/>
      <c r="E64" s="18" t="s">
        <v>150</v>
      </c>
      <c r="F64" s="18" t="s">
        <v>151</v>
      </c>
      <c r="G64" s="1" t="s">
        <v>26</v>
      </c>
      <c r="H64" s="32" t="s">
        <v>152</v>
      </c>
      <c r="I64" s="25"/>
      <c r="J64" s="25" t="s">
        <v>148</v>
      </c>
      <c r="K64" s="20" t="str">
        <f aca="false">B64</f>
        <v>devers_max</v>
      </c>
      <c r="L64" s="21" t="str">
        <f aca="false">IF(C64="","",IF(C64="entier","integer",IF(C64="booléen","boolean",IF(C64="geojson","geojson",IF(C64="décimal","number",IF(C64="date","date","string"))))))</f>
        <v>string</v>
      </c>
      <c r="M64" s="21" t="str">
        <f aca="false">IF(LEFT(B64,9)="coord_gps","geopoint",IF(AND(C64="geojson",B64="geom_surf"),"polygon",IF(AND(C64="geojson",B64="geom_pct"),"point",IF(AND(C64="geojson",B64="geom_lin"),"linestring",IF(C64="url","url_pattern",IF(C64="date","%Y-%M-%D",""))))))</f>
        <v/>
      </c>
      <c r="N64" s="2" t="str">
        <f aca="false">IF(G64="","",IF(G64="obligatoire","oui","non"))</f>
        <v>oui</v>
      </c>
      <c r="O64" s="20" t="str">
        <f aca="false">IF(H64="","","oui")</f>
        <v>oui</v>
      </c>
      <c r="P64" s="20" t="str">
        <f aca="false">IF(H64="","",H64)</f>
        <v>devers</v>
      </c>
      <c r="Q64" s="21" t="str">
        <f aca="false">IF(D64="","","oui")</f>
        <v/>
      </c>
      <c r="S64" s="26"/>
    </row>
    <row r="65" customFormat="false" ht="12.75" hidden="false" customHeight="true" outlineLevel="0" collapsed="false">
      <c r="A65" s="1" t="s">
        <v>232</v>
      </c>
      <c r="B65" s="30" t="s">
        <v>162</v>
      </c>
      <c r="C65" s="23" t="s">
        <v>56</v>
      </c>
      <c r="D65" s="23"/>
      <c r="E65" s="18" t="s">
        <v>246</v>
      </c>
      <c r="F65" s="18" t="s">
        <v>247</v>
      </c>
      <c r="G65" s="1" t="s">
        <v>26</v>
      </c>
      <c r="H65" s="30" t="s">
        <v>162</v>
      </c>
      <c r="I65" s="25"/>
      <c r="J65" s="34" t="s">
        <v>248</v>
      </c>
      <c r="K65" s="20" t="str">
        <f aca="false">B65</f>
        <v>type_sol</v>
      </c>
      <c r="L65" s="21" t="str">
        <f aca="false">IF(C65="","",IF(C65="entier","integer",IF(C65="booléen","boolean",IF(C65="geojson","geojson",IF(C65="décimal","number",IF(C65="date","date","string"))))))</f>
        <v>string</v>
      </c>
      <c r="M65" s="21" t="str">
        <f aca="false">IF(LEFT(B65,9)="coord_gps","geopoint",IF(AND(C65="geojson",B65="geom_surf"),"polygon",IF(AND(C65="geojson",B65="geom_pct"),"point",IF(AND(C65="geojson",B65="geom_lin"),"linestring",IF(C65="url","url_pattern",IF(C65="date","%Y-%M-%D",""))))))</f>
        <v/>
      </c>
      <c r="N65" s="2" t="str">
        <f aca="false">IF(G65="","",IF(G65="obligatoire","oui","non"))</f>
        <v>oui</v>
      </c>
      <c r="O65" s="20" t="str">
        <f aca="false">IF(H65="","","oui")</f>
        <v>oui</v>
      </c>
      <c r="P65" s="20" t="str">
        <f aca="false">IF(H65="","",H65)</f>
        <v>type_sol</v>
      </c>
      <c r="Q65" s="21" t="str">
        <f aca="false">IF(D65="","","oui")</f>
        <v/>
      </c>
      <c r="S65" s="26"/>
    </row>
    <row r="66" customFormat="false" ht="12.75" hidden="false" customHeight="true" outlineLevel="0" collapsed="false">
      <c r="A66" s="1" t="s">
        <v>232</v>
      </c>
      <c r="B66" s="51" t="s">
        <v>167</v>
      </c>
      <c r="C66" s="23" t="s">
        <v>56</v>
      </c>
      <c r="D66" s="23"/>
      <c r="E66" s="18" t="s">
        <v>249</v>
      </c>
      <c r="F66" s="18" t="s">
        <v>249</v>
      </c>
      <c r="G66" s="1" t="s">
        <v>26</v>
      </c>
      <c r="H66" s="51" t="s">
        <v>167</v>
      </c>
      <c r="I66" s="25" t="s">
        <v>169</v>
      </c>
      <c r="J66" s="25" t="s">
        <v>169</v>
      </c>
      <c r="K66" s="20" t="str">
        <f aca="false">B66</f>
        <v>etat_sol</v>
      </c>
      <c r="L66" s="21" t="str">
        <f aca="false">IF(C66="","",IF(C66="entier","integer",IF(C66="booléen","boolean",IF(C66="geojson","geojson",IF(C66="décimal","number",IF(C66="date","date","string"))))))</f>
        <v>string</v>
      </c>
      <c r="M66" s="21" t="str">
        <f aca="false">IF(LEFT(B66,9)="coord_gps","geopoint",IF(AND(C66="geojson",B66="geom_surf"),"polygon",IF(AND(C66="geojson",B66="geom_pct"),"point",IF(AND(C66="geojson",B66="geom_lin"),"linestring",IF(C66="url","url_pattern",IF(C66="date","%Y-%M-%D",""))))))</f>
        <v/>
      </c>
      <c r="N66" s="2" t="str">
        <f aca="false">IF(G66="","",IF(G66="obligatoire","oui","non"))</f>
        <v>oui</v>
      </c>
      <c r="O66" s="20" t="str">
        <f aca="false">IF(H66="","","oui")</f>
        <v>oui</v>
      </c>
      <c r="P66" s="20" t="str">
        <f aca="false">IF(H66="","",H66)</f>
        <v>etat_sol</v>
      </c>
      <c r="Q66" s="21" t="str">
        <f aca="false">IF(D66="","","oui")</f>
        <v/>
      </c>
      <c r="S66" s="26"/>
    </row>
    <row r="67" customFormat="false" ht="12.75" hidden="false" customHeight="true" outlineLevel="0" collapsed="false">
      <c r="A67" s="1" t="s">
        <v>232</v>
      </c>
      <c r="B67" s="30" t="s">
        <v>250</v>
      </c>
      <c r="C67" s="23" t="s">
        <v>56</v>
      </c>
      <c r="D67" s="23" t="s">
        <v>46</v>
      </c>
      <c r="E67" s="18" t="s">
        <v>251</v>
      </c>
      <c r="F67" s="18" t="s">
        <v>252</v>
      </c>
      <c r="G67" s="1" t="s">
        <v>26</v>
      </c>
      <c r="H67" s="31" t="s">
        <v>175</v>
      </c>
      <c r="I67" s="25"/>
      <c r="J67" s="52" t="s">
        <v>253</v>
      </c>
      <c r="K67" s="20" t="str">
        <f aca="false">B67</f>
        <v>reperabilite_troncon</v>
      </c>
      <c r="L67" s="21" t="str">
        <f aca="false">IF(C67="","",IF(C67="entier","integer",IF(C67="booléen","boolean",IF(C67="geojson","geojson",IF(C67="décimal","number",IF(C67="date","date","string"))))))</f>
        <v>string</v>
      </c>
      <c r="M67" s="21" t="str">
        <f aca="false">IF(LEFT(B67,9)="coord_gps","geopoint",IF(AND(C67="geojson",B67="geom_surf"),"polygon",IF(AND(C67="geojson",B67="geom_pct"),"point",IF(AND(C67="geojson",B67="geom_lin"),"linestring",IF(C67="url","url_pattern",IF(C67="date","%Y-%M-%D",""))))))</f>
        <v/>
      </c>
      <c r="N67" s="2" t="str">
        <f aca="false">IF(G67="","",IF(G67="obligatoire","oui","non"))</f>
        <v>oui</v>
      </c>
      <c r="O67" s="20" t="str">
        <f aca="false">IF(H67="","","oui")</f>
        <v>oui</v>
      </c>
      <c r="P67" s="20" t="str">
        <f aca="false">IF(H67="","",H67)</f>
        <v>reperabilite</v>
      </c>
      <c r="Q67" s="21" t="str">
        <f aca="false">IF(D67="","","oui")</f>
        <v>oui</v>
      </c>
      <c r="S67" s="26"/>
    </row>
    <row r="68" s="3" customFormat="true" ht="12.75" hidden="false" customHeight="true" outlineLevel="0" collapsed="false">
      <c r="A68" s="1" t="s">
        <v>232</v>
      </c>
      <c r="B68" s="31" t="s">
        <v>254</v>
      </c>
      <c r="C68" s="23" t="s">
        <v>56</v>
      </c>
      <c r="D68" s="23" t="s">
        <v>46</v>
      </c>
      <c r="E68" s="18" t="s">
        <v>255</v>
      </c>
      <c r="F68" s="18" t="s">
        <v>256</v>
      </c>
      <c r="G68" s="1" t="s">
        <v>33</v>
      </c>
      <c r="H68" s="31" t="s">
        <v>254</v>
      </c>
      <c r="I68" s="25"/>
      <c r="J68" s="52" t="s">
        <v>173</v>
      </c>
      <c r="K68" s="20" t="str">
        <f aca="false">B68</f>
        <v>type_securite</v>
      </c>
      <c r="L68" s="21" t="str">
        <f aca="false">IF(C68="","",IF(C68="entier","integer",IF(C68="booléen","boolean",IF(C68="geojson","geojson",IF(C68="décimal","number",IF(C68="date","date","string"))))))</f>
        <v>string</v>
      </c>
      <c r="M68" s="21" t="str">
        <f aca="false">IF(LEFT(B68,9)="coord_gps","geopoint",IF(AND(C68="geojson",B68="geom_surf"),"polygon",IF(AND(C68="geojson",B68="geom_pct"),"point",IF(AND(C68="geojson",B68="geom_lin"),"linestring",IF(C68="url","url_pattern",IF(C68="date","%Y-%M-%D",""))))))</f>
        <v/>
      </c>
      <c r="N68" s="2" t="str">
        <f aca="false">IF(G68="","",IF(G68="obligatoire","oui","non"))</f>
        <v>non</v>
      </c>
      <c r="O68" s="20" t="str">
        <f aca="false">IF(H68="","","oui")</f>
        <v>oui</v>
      </c>
      <c r="P68" s="20" t="str">
        <f aca="false">IF(H68="","",H68)</f>
        <v>type_securite</v>
      </c>
      <c r="Q68" s="21" t="str">
        <f aca="false">IF(D68="","","oui")</f>
        <v>oui</v>
      </c>
      <c r="R68" s="1"/>
      <c r="S68" s="26"/>
      <c r="T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0"/>
      <c r="AP68" s="0"/>
      <c r="AQ68" s="0"/>
      <c r="AR68" s="0"/>
      <c r="AS68" s="0"/>
      <c r="AT68" s="0"/>
      <c r="AU68" s="0"/>
      <c r="AV68" s="0"/>
    </row>
    <row r="69" customFormat="false" ht="12" hidden="false" customHeight="true" outlineLevel="0" collapsed="false">
      <c r="A69" s="1" t="s">
        <v>232</v>
      </c>
      <c r="B69" s="37" t="s">
        <v>120</v>
      </c>
      <c r="C69" s="23" t="s">
        <v>78</v>
      </c>
      <c r="D69" s="23" t="s">
        <v>46</v>
      </c>
      <c r="E69" s="37" t="s">
        <v>257</v>
      </c>
      <c r="F69" s="37" t="s">
        <v>258</v>
      </c>
      <c r="G69" s="1" t="s">
        <v>33</v>
      </c>
      <c r="H69" s="25"/>
      <c r="I69" s="25"/>
      <c r="J69" s="25"/>
      <c r="K69" s="20" t="str">
        <f aca="false">B69</f>
        <v>url_media</v>
      </c>
      <c r="L69" s="21" t="str">
        <f aca="false">IF(C69="","",IF(C69="entier","integer",IF(C69="booléen","boolean",IF(C69="geojson","geojson",IF(C69="décimal","number",IF(C69="date","date","string"))))))</f>
        <v>string</v>
      </c>
      <c r="M69" s="21" t="str">
        <f aca="false">IF(LEFT(B69,9)="coord_gps","geopoint",IF(AND(C69="geojson",B69="geom_surf"),"polygon",IF(AND(C69="geojson",B69="geom_pct"),"point",IF(AND(C69="geojson",B69="geom_lin"),"linestring",IF(C69="url","url_pattern",IF(C69="date","%Y-%M-%D",""))))))</f>
        <v>url_pattern</v>
      </c>
      <c r="N69" s="2" t="str">
        <f aca="false">IF(G69="","",IF(G69="obligatoire","oui","non"))</f>
        <v>non</v>
      </c>
      <c r="O69" s="20" t="str">
        <f aca="false">IF(H69="","","oui")</f>
        <v/>
      </c>
      <c r="P69" s="20" t="str">
        <f aca="false">IF(H69="","",H69)</f>
        <v/>
      </c>
      <c r="Q69" s="21" t="str">
        <f aca="false">IF(D69="","","oui")</f>
        <v>oui</v>
      </c>
      <c r="S69" s="26"/>
      <c r="AO69" s="3"/>
      <c r="AP69" s="3"/>
      <c r="AQ69" s="3"/>
      <c r="AR69" s="3"/>
      <c r="AS69" s="3"/>
      <c r="AT69" s="3"/>
      <c r="AU69" s="3"/>
      <c r="AV69" s="3"/>
    </row>
    <row r="70" customFormat="false" ht="12" hidden="false" customHeight="true" outlineLevel="0" collapsed="false">
      <c r="A70" s="1" t="s">
        <v>232</v>
      </c>
      <c r="B70" s="1" t="s">
        <v>228</v>
      </c>
      <c r="C70" s="23" t="s">
        <v>73</v>
      </c>
      <c r="D70" s="23"/>
      <c r="E70" s="1" t="s">
        <v>259</v>
      </c>
      <c r="F70" s="30" t="s">
        <v>260</v>
      </c>
      <c r="G70" s="1" t="s">
        <v>26</v>
      </c>
      <c r="H70" s="25"/>
      <c r="I70" s="25"/>
      <c r="J70" s="25" t="s">
        <v>231</v>
      </c>
      <c r="K70" s="20" t="str">
        <f aca="false">B70</f>
        <v>geom_lin</v>
      </c>
      <c r="L70" s="21" t="str">
        <f aca="false">IF(C70="","",IF(C70="entier","integer",IF(C70="booléen","boolean",IF(C70="geojson","geojson",IF(C70="décimal","number",IF(C70="date","date","string"))))))</f>
        <v>geojson</v>
      </c>
      <c r="M70" s="21" t="str">
        <f aca="false">IF(LEFT(B70,9)="coord_gps","geopoint",IF(AND(C70="geojson",B70="geom_surf"),"polygon",IF(AND(C70="geojson",B70="geom_pct"),"point",IF(AND(C70="geojson",B70="geom_lin"),"linestring",IF(C70="url","url_pattern",IF(C70="date","%Y-%M-%D",""))))))</f>
        <v>linestring</v>
      </c>
      <c r="N70" s="2" t="str">
        <f aca="false">IF(G70="","",IF(G70="obligatoire","oui","non"))</f>
        <v>oui</v>
      </c>
      <c r="O70" s="20" t="str">
        <f aca="false">IF(H70="","","oui")</f>
        <v/>
      </c>
      <c r="P70" s="20" t="str">
        <f aca="false">IF(H70="","",H70)</f>
        <v/>
      </c>
      <c r="Q70" s="21" t="str">
        <f aca="false">IF(D70="","","oui")</f>
        <v/>
      </c>
      <c r="S70" s="26"/>
      <c r="AO70" s="3"/>
      <c r="AP70" s="3"/>
      <c r="AQ70" s="3"/>
      <c r="AR70" s="3"/>
      <c r="AS70" s="3"/>
      <c r="AT70" s="3"/>
      <c r="AU70" s="3"/>
      <c r="AV70" s="3"/>
    </row>
    <row r="71" customFormat="false" ht="12" hidden="false" customHeight="true" outlineLevel="0" collapsed="false">
      <c r="C71" s="23"/>
      <c r="D71" s="23"/>
      <c r="E71" s="30"/>
      <c r="F71" s="30"/>
      <c r="H71" s="25"/>
      <c r="I71" s="25"/>
      <c r="J71" s="25"/>
      <c r="K71" s="20"/>
      <c r="L71" s="21" t="str">
        <f aca="false">IF(C71="","",IF(C71="entier","integer",IF(C71="booléen","boolean",IF(C71="geojson","geojson",IF(C71="décimal","number",IF(C71="date","date","string"))))))</f>
        <v/>
      </c>
      <c r="M71" s="21" t="str">
        <f aca="false">IF(LEFT(B71,9)="coord_gps","geopoint",IF(AND(C71="geojson",B71="geom_surf"),"polygon",IF(AND(C71="geojson",B71="geom_pct"),"point",IF(AND(C71="geojson",B71="geom_lin"),"linestring",IF(C71="url","url_pattern",IF(C71="date","%Y-%M-%D",""))))))</f>
        <v/>
      </c>
      <c r="N71" s="2" t="str">
        <f aca="false">IF(G71="","",IF(G71="obligatoire","oui","non"))</f>
        <v/>
      </c>
      <c r="O71" s="20" t="str">
        <f aca="false">IF(H71="","","oui")</f>
        <v/>
      </c>
      <c r="P71" s="20" t="str">
        <f aca="false">IF(H71="","",H71)</f>
        <v/>
      </c>
      <c r="Q71" s="21" t="str">
        <f aca="false">IF(D71="","","oui")</f>
        <v/>
      </c>
      <c r="S71" s="26"/>
    </row>
    <row r="72" customFormat="false" ht="12.75" hidden="false" customHeight="true" outlineLevel="0" collapsed="false">
      <c r="A72" s="46" t="s">
        <v>261</v>
      </c>
      <c r="B72" s="47"/>
      <c r="C72" s="48"/>
      <c r="D72" s="48"/>
      <c r="E72" s="10"/>
      <c r="F72" s="11"/>
      <c r="G72" s="47"/>
      <c r="H72" s="49"/>
      <c r="I72" s="49"/>
      <c r="J72" s="49"/>
      <c r="K72" s="14"/>
      <c r="L72" s="14"/>
      <c r="M72" s="14"/>
      <c r="N72" s="48"/>
      <c r="O72" s="48"/>
      <c r="P72" s="48"/>
      <c r="Q72" s="48"/>
      <c r="R72" s="47"/>
      <c r="S72" s="50"/>
      <c r="T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</row>
    <row r="73" customFormat="false" ht="12.75" hidden="false" customHeight="true" outlineLevel="0" collapsed="false">
      <c r="A73" s="1" t="s">
        <v>261</v>
      </c>
      <c r="B73" s="17" t="s">
        <v>262</v>
      </c>
      <c r="C73" s="18" t="s">
        <v>23</v>
      </c>
      <c r="D73" s="18"/>
      <c r="E73" s="18" t="s">
        <v>263</v>
      </c>
      <c r="F73" s="18" t="s">
        <v>264</v>
      </c>
      <c r="G73" s="1" t="s">
        <v>26</v>
      </c>
      <c r="H73" s="19"/>
      <c r="I73" s="19"/>
      <c r="J73" s="17" t="s">
        <v>265</v>
      </c>
      <c r="K73" s="20" t="str">
        <f aca="false">B73</f>
        <v>id_obstacle</v>
      </c>
      <c r="L73" s="21" t="str">
        <f aca="false">IF(C73="","",IF(C73="entier","integer",IF(C73="booléen","boolean",IF(C73="geojson","geojson",IF(C73="décimal","number",IF(C73="date","date","string"))))))</f>
        <v>string</v>
      </c>
      <c r="M73" s="21" t="str">
        <f aca="false">IF(LEFT(B73,9)="coord_gps","geopoint",IF(AND(C73="geojson",B73="geom_surf"),"polygon",IF(AND(C73="geojson",B73="geom_pct"),"point",IF(AND(C73="geojson",B73="geom_lin"),"linestring",IF(C73="url","url_pattern",IF(C73="date","%Y-%M-%D",""))))))</f>
        <v/>
      </c>
      <c r="N73" s="2" t="str">
        <f aca="false">IF(G73="","",IF(G73="obligatoire","oui","non"))</f>
        <v>oui</v>
      </c>
      <c r="O73" s="20" t="str">
        <f aca="false">IF(H73="","","oui")</f>
        <v/>
      </c>
      <c r="P73" s="20" t="str">
        <f aca="false">IF(H73="","",H73)</f>
        <v/>
      </c>
      <c r="Q73" s="21" t="str">
        <f aca="false">IF(D73="","","oui")</f>
        <v/>
      </c>
      <c r="R73" s="22" t="s">
        <v>28</v>
      </c>
      <c r="S73" s="22"/>
      <c r="T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customFormat="false" ht="12.75" hidden="false" customHeight="true" outlineLevel="0" collapsed="false">
      <c r="A74" s="1" t="s">
        <v>261</v>
      </c>
      <c r="B74" s="17" t="s">
        <v>34</v>
      </c>
      <c r="C74" s="18" t="s">
        <v>23</v>
      </c>
      <c r="D74" s="18"/>
      <c r="E74" s="18" t="s">
        <v>238</v>
      </c>
      <c r="F74" s="18" t="s">
        <v>238</v>
      </c>
      <c r="G74" s="1" t="s">
        <v>33</v>
      </c>
      <c r="H74" s="19"/>
      <c r="I74" s="19"/>
      <c r="J74" s="17"/>
      <c r="K74" s="20" t="str">
        <f aca="false">B74</f>
        <v>id_osm</v>
      </c>
      <c r="L74" s="21" t="str">
        <f aca="false">IF(C74="","",IF(C74="entier","integer",IF(C74="booléen","boolean",IF(C74="geojson","geojson",IF(C74="décimal","number",IF(C74="date","date","string"))))))</f>
        <v>string</v>
      </c>
      <c r="M74" s="21" t="str">
        <f aca="false">IF(LEFT(B74,9)="coord_gps","geopoint",IF(AND(C74="geojson",B74="geom_surf"),"polygon",IF(AND(C74="geojson",B74="geom_pct"),"point",IF(AND(C74="geojson",B74="geom_lin"),"linestring",IF(C74="url","url_pattern",IF(C74="date","%Y-%M-%D",""))))))</f>
        <v/>
      </c>
      <c r="N74" s="2" t="str">
        <f aca="false">IF(G74="","",IF(G74="obligatoire","oui","non"))</f>
        <v>non</v>
      </c>
      <c r="O74" s="20" t="str">
        <f aca="false">IF(H74="","","oui")</f>
        <v/>
      </c>
      <c r="P74" s="20" t="str">
        <f aca="false">IF(H74="","",H74)</f>
        <v/>
      </c>
      <c r="Q74" s="21" t="str">
        <f aca="false">IF(D74="","","oui")</f>
        <v/>
      </c>
      <c r="R74" s="22"/>
      <c r="S74" s="22"/>
      <c r="T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customFormat="false" ht="12.75" hidden="false" customHeight="true" outlineLevel="0" collapsed="false">
      <c r="A75" s="1" t="s">
        <v>261</v>
      </c>
      <c r="B75" s="30" t="s">
        <v>266</v>
      </c>
      <c r="C75" s="23" t="s">
        <v>56</v>
      </c>
      <c r="D75" s="23"/>
      <c r="E75" s="1" t="s">
        <v>267</v>
      </c>
      <c r="F75" s="1" t="s">
        <v>267</v>
      </c>
      <c r="G75" s="1" t="s">
        <v>26</v>
      </c>
      <c r="H75" s="30" t="s">
        <v>266</v>
      </c>
      <c r="I75" s="1" t="s">
        <v>92</v>
      </c>
      <c r="J75" s="17" t="s">
        <v>268</v>
      </c>
      <c r="K75" s="20" t="str">
        <f aca="false">B75</f>
        <v>type_obstacle</v>
      </c>
      <c r="L75" s="21" t="str">
        <f aca="false">IF(C75="","",IF(C75="entier","integer",IF(C75="booléen","boolean",IF(C75="geojson","geojson",IF(C75="décimal","number",IF(C75="date","date","string"))))))</f>
        <v>string</v>
      </c>
      <c r="M75" s="21" t="str">
        <f aca="false">IF(LEFT(B75,9)="coord_gps","geopoint",IF(AND(C75="geojson",B75="geom_surf"),"polygon",IF(AND(C75="geojson",B75="geom_pct"),"point",IF(AND(C75="geojson",B75="geom_lin"),"linestring",IF(C75="url","url_pattern",IF(C75="date","%Y-%M-%D",""))))))</f>
        <v/>
      </c>
      <c r="N75" s="2" t="str">
        <f aca="false">IF(G75="","",IF(G75="obligatoire","oui","non"))</f>
        <v>oui</v>
      </c>
      <c r="O75" s="20" t="str">
        <f aca="false">IF(H75="","","oui")</f>
        <v>oui</v>
      </c>
      <c r="P75" s="20" t="str">
        <f aca="false">IF(H75="","",H75)</f>
        <v>type_obstacle</v>
      </c>
      <c r="Q75" s="21" t="str">
        <f aca="false">IF(D75="","","oui")</f>
        <v/>
      </c>
      <c r="S75" s="26"/>
    </row>
    <row r="76" customFormat="false" ht="12.75" hidden="false" customHeight="true" outlineLevel="0" collapsed="false">
      <c r="A76" s="1" t="s">
        <v>261</v>
      </c>
      <c r="B76" s="1" t="s">
        <v>269</v>
      </c>
      <c r="C76" s="23" t="s">
        <v>52</v>
      </c>
      <c r="D76" s="23"/>
      <c r="E76" s="1" t="s">
        <v>270</v>
      </c>
      <c r="F76" s="1" t="s">
        <v>270</v>
      </c>
      <c r="G76" s="1" t="s">
        <v>33</v>
      </c>
      <c r="J76" s="17" t="s">
        <v>271</v>
      </c>
      <c r="K76" s="20" t="str">
        <f aca="false">B76</f>
        <v>description_obstacle</v>
      </c>
      <c r="L76" s="21" t="str">
        <f aca="false">IF(C76="","",IF(C76="entier","integer",IF(C76="booléen","boolean",IF(C76="geojson","geojson",IF(C76="décimal","number",IF(C76="date","date","string"))))))</f>
        <v>string</v>
      </c>
      <c r="M76" s="21" t="str">
        <f aca="false">IF(LEFT(B76,9)="coord_gps","geopoint",IF(AND(C76="geojson",B76="geom_surf"),"polygon",IF(AND(C76="geojson",B76="geom_pct"),"point",IF(AND(C76="geojson",B76="geom_lin"),"linestring",IF(C76="url","url_pattern",IF(C76="date","%Y-%M-%D",""))))))</f>
        <v/>
      </c>
      <c r="N76" s="2" t="str">
        <f aca="false">IF(G76="","",IF(G76="obligatoire","oui","non"))</f>
        <v>non</v>
      </c>
      <c r="O76" s="20" t="str">
        <f aca="false">IF(H76="","","oui")</f>
        <v/>
      </c>
      <c r="P76" s="20" t="str">
        <f aca="false">IF(H76="","",H76)</f>
        <v/>
      </c>
      <c r="Q76" s="21" t="str">
        <f aca="false">IF(D76="","","oui")</f>
        <v/>
      </c>
      <c r="S76" s="26"/>
    </row>
    <row r="77" customFormat="false" ht="12.75" hidden="false" customHeight="true" outlineLevel="0" collapsed="false">
      <c r="A77" s="1" t="s">
        <v>261</v>
      </c>
      <c r="B77" s="37" t="s">
        <v>120</v>
      </c>
      <c r="C77" s="23" t="s">
        <v>272</v>
      </c>
      <c r="D77" s="23" t="s">
        <v>46</v>
      </c>
      <c r="E77" s="37" t="s">
        <v>273</v>
      </c>
      <c r="F77" s="37" t="s">
        <v>274</v>
      </c>
      <c r="G77" s="1" t="s">
        <v>33</v>
      </c>
      <c r="J77" s="17" t="s">
        <v>275</v>
      </c>
      <c r="K77" s="20" t="str">
        <f aca="false">B77</f>
        <v>url_media</v>
      </c>
      <c r="L77" s="21" t="str">
        <f aca="false">IF(C77="","",IF(C77="entier","integer",IF(C77="booléen","boolean",IF(C77="geojson","geojson",IF(C77="décimal","number",IF(C77="date","date","string"))))))</f>
        <v>string</v>
      </c>
      <c r="M77" s="21" t="str">
        <f aca="false">IF(LEFT(B77,9)="coord_gps","geopoint",IF(AND(C77="geojson",B77="geom_surf"),"polygon",IF(AND(C77="geojson",B77="geom_pct"),"point",IF(AND(C77="geojson",B77="geom_lin"),"linestring",IF(C77="url","url_pattern",IF(C77="date","%Y-%M-%D",""))))))</f>
        <v/>
      </c>
      <c r="N77" s="2" t="str">
        <f aca="false">IF(G77="","",IF(G77="obligatoire","oui","non"))</f>
        <v>non</v>
      </c>
      <c r="O77" s="20" t="str">
        <f aca="false">IF(H77="","","oui")</f>
        <v/>
      </c>
      <c r="P77" s="20" t="str">
        <f aca="false">IF(H77="","",H77)</f>
        <v/>
      </c>
      <c r="Q77" s="21" t="str">
        <f aca="false">IF(D77="","","oui")</f>
        <v>oui</v>
      </c>
      <c r="S77" s="26"/>
    </row>
    <row r="78" customFormat="false" ht="12.75" hidden="false" customHeight="true" outlineLevel="0" collapsed="false">
      <c r="A78" s="1" t="s">
        <v>261</v>
      </c>
      <c r="B78" s="30" t="s">
        <v>276</v>
      </c>
      <c r="C78" s="23" t="s">
        <v>56</v>
      </c>
      <c r="D78" s="23"/>
      <c r="E78" s="1" t="s">
        <v>277</v>
      </c>
      <c r="F78" s="1" t="s">
        <v>278</v>
      </c>
      <c r="G78" s="1" t="s">
        <v>26</v>
      </c>
      <c r="H78" s="30" t="s">
        <v>276</v>
      </c>
      <c r="I78" s="1" t="s">
        <v>279</v>
      </c>
      <c r="J78" s="17" t="s">
        <v>279</v>
      </c>
      <c r="K78" s="20" t="str">
        <f aca="false">B78</f>
        <v>frequence_obstacle</v>
      </c>
      <c r="L78" s="21" t="str">
        <f aca="false">IF(C78="","",IF(C78="entier","integer",IF(C78="booléen","boolean",IF(C78="geojson","geojson",IF(C78="décimal","number",IF(C78="date","date","string"))))))</f>
        <v>string</v>
      </c>
      <c r="M78" s="21" t="str">
        <f aca="false">IF(LEFT(B78,9)="coord_gps","geopoint",IF(AND(C78="geojson",B78="geom_surf"),"polygon",IF(AND(C78="geojson",B78="geom_pct"),"point",IF(AND(C78="geojson",B78="geom_lin"),"linestring",IF(C78="url","url_pattern",IF(C78="date","%Y-%M-%D",""))))))</f>
        <v/>
      </c>
      <c r="N78" s="2" t="str">
        <f aca="false">IF(G78="","",IF(G78="obligatoire","oui","non"))</f>
        <v>oui</v>
      </c>
      <c r="O78" s="20" t="str">
        <f aca="false">IF(H78="","","oui")</f>
        <v>oui</v>
      </c>
      <c r="P78" s="20" t="str">
        <f aca="false">IF(H78="","",H78)</f>
        <v>frequence_obstacle</v>
      </c>
      <c r="Q78" s="21" t="str">
        <f aca="false">IF(D78="","","oui")</f>
        <v/>
      </c>
      <c r="S78" s="26"/>
    </row>
    <row r="79" customFormat="false" ht="12.75" hidden="false" customHeight="true" outlineLevel="0" collapsed="false">
      <c r="A79" s="1" t="s">
        <v>261</v>
      </c>
      <c r="B79" s="30" t="s">
        <v>280</v>
      </c>
      <c r="C79" s="23" t="s">
        <v>43</v>
      </c>
      <c r="D79" s="23"/>
      <c r="E79" s="1" t="s">
        <v>281</v>
      </c>
      <c r="F79" s="1" t="s">
        <v>282</v>
      </c>
      <c r="G79" s="1" t="s">
        <v>26</v>
      </c>
      <c r="H79" s="30" t="s">
        <v>175</v>
      </c>
      <c r="I79" s="25"/>
      <c r="J79" s="17" t="s">
        <v>194</v>
      </c>
      <c r="K79" s="20" t="str">
        <f aca="false">B79</f>
        <v>reperabilite_obstacle</v>
      </c>
      <c r="L79" s="21" t="str">
        <f aca="false">IF(C79="","",IF(C79="entier","integer",IF(C79="booléen","boolean",IF(C79="geojson","geojson",IF(C79="décimal","number",IF(C79="date","date","string"))))))</f>
        <v>boolean</v>
      </c>
      <c r="M79" s="21" t="str">
        <f aca="false">IF(LEFT(B79,9)="coord_gps","geopoint",IF(AND(C79="geojson",B79="geom_surf"),"polygon",IF(AND(C79="geojson",B79="geom_pct"),"point",IF(AND(C79="geojson",B79="geom_lin"),"linestring",IF(C79="url","url_pattern",IF(C79="date","%Y-%M-%D",""))))))</f>
        <v/>
      </c>
      <c r="N79" s="2" t="str">
        <f aca="false">IF(G79="","",IF(G79="obligatoire","oui","non"))</f>
        <v>oui</v>
      </c>
      <c r="O79" s="20" t="str">
        <f aca="false">IF(H79="","","oui")</f>
        <v>oui</v>
      </c>
      <c r="P79" s="20" t="str">
        <f aca="false">IF(H79="","",H79)</f>
        <v>reperabilite</v>
      </c>
      <c r="Q79" s="21" t="str">
        <f aca="false">IF(D79="","","oui")</f>
        <v/>
      </c>
      <c r="S79" s="26"/>
    </row>
    <row r="80" customFormat="false" ht="12.75" hidden="false" customHeight="true" outlineLevel="0" collapsed="false">
      <c r="A80" s="1" t="s">
        <v>261</v>
      </c>
      <c r="B80" s="1" t="s">
        <v>283</v>
      </c>
      <c r="C80" s="23" t="s">
        <v>73</v>
      </c>
      <c r="D80" s="23"/>
      <c r="E80" s="1" t="s">
        <v>284</v>
      </c>
      <c r="F80" s="1" t="s">
        <v>284</v>
      </c>
      <c r="G80" s="1" t="s">
        <v>33</v>
      </c>
      <c r="H80" s="25"/>
      <c r="I80" s="25"/>
      <c r="J80" s="17" t="s">
        <v>76</v>
      </c>
      <c r="K80" s="20" t="str">
        <f aca="false">B80</f>
        <v>coord_gps_obstacle</v>
      </c>
      <c r="L80" s="21" t="str">
        <f aca="false">IF(C80="","",IF(C80="entier","integer",IF(C80="booléen","boolean",IF(C80="geojson","geojson",IF(C80="décimal","number",IF(C80="date","date","string"))))))</f>
        <v>geojson</v>
      </c>
      <c r="M80" s="21" t="str">
        <f aca="false">IF(LEFT(B80,9)="coord_gps","geopoint",IF(AND(C80="geojson",B80="geom_surf"),"polygon",IF(AND(C80="geojson",B80="geom_pct"),"point",IF(AND(C80="geojson",B80="geom_lin"),"linestring",IF(C80="url","url_pattern",IF(C80="date","%Y-%M-%D",""))))))</f>
        <v>geopoint</v>
      </c>
      <c r="N80" s="2" t="str">
        <f aca="false">IF(G80="","",IF(G80="obligatoire","oui","non"))</f>
        <v>non</v>
      </c>
      <c r="O80" s="20" t="str">
        <f aca="false">IF(H80="","","oui")</f>
        <v/>
      </c>
      <c r="P80" s="20" t="str">
        <f aca="false">IF(H80="","",H80)</f>
        <v/>
      </c>
      <c r="Q80" s="21" t="str">
        <f aca="false">IF(D80="","","oui")</f>
        <v/>
      </c>
      <c r="S80" s="26"/>
    </row>
    <row r="81" customFormat="false" ht="12.75" hidden="false" customHeight="true" outlineLevel="0" collapsed="false">
      <c r="A81" s="1" t="s">
        <v>261</v>
      </c>
      <c r="B81" s="1" t="s">
        <v>285</v>
      </c>
      <c r="C81" s="23" t="s">
        <v>73</v>
      </c>
      <c r="D81" s="23"/>
      <c r="E81" s="30" t="s">
        <v>286</v>
      </c>
      <c r="F81" s="30" t="s">
        <v>287</v>
      </c>
      <c r="G81" s="1" t="s">
        <v>26</v>
      </c>
      <c r="H81" s="25"/>
      <c r="I81" s="25"/>
      <c r="J81" s="17" t="s">
        <v>288</v>
      </c>
      <c r="K81" s="20" t="str">
        <f aca="false">B81</f>
        <v>geom_pct</v>
      </c>
      <c r="L81" s="21" t="str">
        <f aca="false">IF(C81="","",IF(C81="entier","integer",IF(C81="booléen","boolean",IF(C81="geojson","geojson",IF(C81="décimal","number",IF(C81="date","date","string"))))))</f>
        <v>geojson</v>
      </c>
      <c r="M81" s="21" t="str">
        <f aca="false">IF(LEFT(B81,9)="coord_gps","geopoint",IF(AND(C81="geojson",B81="geom_surf"),"polygon",IF(AND(C81="geojson",B81="geom_pct"),"point",IF(AND(C81="geojson",B81="geom_lin"),"linestring",IF(C81="url","url_pattern",IF(C81="date","%Y-%M-%D",""))))))</f>
        <v>point</v>
      </c>
      <c r="N81" s="2" t="str">
        <f aca="false">IF(G81="","",IF(G81="obligatoire","oui","non"))</f>
        <v>oui</v>
      </c>
      <c r="O81" s="20" t="str">
        <f aca="false">IF(H81="","","oui")</f>
        <v/>
      </c>
      <c r="P81" s="20" t="str">
        <f aca="false">IF(H81="","",H81)</f>
        <v/>
      </c>
      <c r="Q81" s="21" t="str">
        <f aca="false">IF(D81="","","oui")</f>
        <v/>
      </c>
      <c r="S81" s="26"/>
    </row>
    <row r="82" customFormat="false" ht="12.75" hidden="false" customHeight="true" outlineLevel="0" collapsed="false">
      <c r="B82" s="30"/>
      <c r="C82" s="23"/>
      <c r="D82" s="23"/>
      <c r="E82" s="30"/>
      <c r="F82" s="30"/>
      <c r="H82" s="25"/>
      <c r="I82" s="25"/>
      <c r="J82" s="25"/>
      <c r="K82" s="20"/>
      <c r="L82" s="21" t="str">
        <f aca="false">IF(C82="","",IF(C82="entier","integer",IF(C82="booléen","boolean",IF(C82="geojson","geojson",IF(C82="décimal","number",IF(C82="date","date","string"))))))</f>
        <v/>
      </c>
      <c r="M82" s="21" t="str">
        <f aca="false">IF(LEFT(B82,9)="coord_gps","geopoint",IF(AND(C82="geojson",B82="geom_surf"),"polygon",IF(AND(C82="geojson",B82="geom_pct"),"point",IF(AND(C82="geojson",B82="geom_lin"),"linestring",IF(C82="url","url_pattern",IF(C82="date","%Y-%M-%D",""))))))</f>
        <v/>
      </c>
      <c r="N82" s="2" t="str">
        <f aca="false">IF(G82="","",IF(G82="obligatoire","oui","non"))</f>
        <v/>
      </c>
      <c r="O82" s="20" t="str">
        <f aca="false">IF(H82="","","oui")</f>
        <v/>
      </c>
      <c r="P82" s="20" t="str">
        <f aca="false">IF(H82="","",H82)</f>
        <v/>
      </c>
      <c r="Q82" s="21" t="str">
        <f aca="false">IF(D82="","","oui")</f>
        <v/>
      </c>
      <c r="S82" s="26"/>
    </row>
    <row r="83" customFormat="false" ht="12.75" hidden="false" customHeight="true" outlineLevel="0" collapsed="false">
      <c r="A83" s="10" t="s">
        <v>289</v>
      </c>
      <c r="B83" s="12"/>
      <c r="C83" s="11"/>
      <c r="D83" s="11"/>
      <c r="E83" s="10"/>
      <c r="F83" s="11"/>
      <c r="G83" s="12"/>
      <c r="H83" s="13"/>
      <c r="I83" s="13"/>
      <c r="J83" s="13"/>
      <c r="K83" s="14"/>
      <c r="L83" s="14"/>
      <c r="M83" s="14"/>
      <c r="N83" s="48"/>
      <c r="O83" s="48"/>
      <c r="P83" s="48"/>
      <c r="Q83" s="48"/>
      <c r="R83" s="16"/>
      <c r="S83" s="12"/>
      <c r="T83" s="16" t="s">
        <v>21</v>
      </c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</row>
    <row r="84" customFormat="false" ht="12.75" hidden="false" customHeight="true" outlineLevel="0" collapsed="false">
      <c r="A84" s="1" t="s">
        <v>289</v>
      </c>
      <c r="B84" s="17" t="s">
        <v>290</v>
      </c>
      <c r="C84" s="18" t="s">
        <v>23</v>
      </c>
      <c r="D84" s="18"/>
      <c r="E84" s="18" t="s">
        <v>291</v>
      </c>
      <c r="F84" s="18" t="s">
        <v>292</v>
      </c>
      <c r="G84" s="1" t="s">
        <v>26</v>
      </c>
      <c r="H84" s="19"/>
      <c r="I84" s="19"/>
      <c r="J84" s="17" t="s">
        <v>293</v>
      </c>
      <c r="K84" s="20" t="str">
        <f aca="false">B84</f>
        <v>id_arret_tc</v>
      </c>
      <c r="L84" s="21" t="str">
        <f aca="false">IF(C84="","",IF(C84="entier","integer",IF(C84="booléen","boolean",IF(C84="geojson","geojson",IF(C84="décimal","number",IF(C84="date","date","string"))))))</f>
        <v>string</v>
      </c>
      <c r="M84" s="21" t="str">
        <f aca="false">IF(LEFT(B84,9)="coord_gps","geopoint",IF(AND(C84="geojson",B84="geom_surf"),"polygon",IF(AND(C84="geojson",B84="geom_pct"),"point",IF(AND(C84="geojson",B84="geom_lin"),"linestring",IF(C84="url","url_pattern",IF(C84="date","%Y-%M-%D",""))))))</f>
        <v/>
      </c>
      <c r="N84" s="2" t="str">
        <f aca="false">IF(G84="","",IF(G84="obligatoire","oui","non"))</f>
        <v>oui</v>
      </c>
      <c r="O84" s="20" t="str">
        <f aca="false">IF(H84="","","oui")</f>
        <v/>
      </c>
      <c r="P84" s="20" t="str">
        <f aca="false">IF(H84="","",H84)</f>
        <v/>
      </c>
      <c r="Q84" s="21" t="str">
        <f aca="false">IF(D84="","","oui")</f>
        <v/>
      </c>
      <c r="R84" s="22" t="s">
        <v>28</v>
      </c>
      <c r="S84" s="17"/>
      <c r="T84" s="22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customFormat="false" ht="12.75" hidden="false" customHeight="true" outlineLevel="0" collapsed="false">
      <c r="A85" s="1" t="s">
        <v>289</v>
      </c>
      <c r="B85" s="1" t="s">
        <v>294</v>
      </c>
      <c r="C85" s="23" t="s">
        <v>52</v>
      </c>
      <c r="D85" s="23"/>
      <c r="E85" s="1" t="s">
        <v>295</v>
      </c>
      <c r="F85" s="1" t="s">
        <v>296</v>
      </c>
      <c r="G85" s="1" t="s">
        <v>26</v>
      </c>
      <c r="H85" s="25"/>
      <c r="I85" s="25"/>
      <c r="J85" s="17" t="s">
        <v>297</v>
      </c>
      <c r="K85" s="20" t="str">
        <f aca="false">B85</f>
        <v>nom_arret</v>
      </c>
      <c r="L85" s="21" t="str">
        <f aca="false">IF(C85="","",IF(C85="entier","integer",IF(C85="booléen","boolean",IF(C85="geojson","geojson",IF(C85="décimal","number",IF(C85="date","date","string"))))))</f>
        <v>string</v>
      </c>
      <c r="M85" s="21" t="str">
        <f aca="false">IF(LEFT(B85,9)="coord_gps","geopoint",IF(AND(C85="geojson",B85="geom_surf"),"polygon",IF(AND(C85="geojson",B85="geom_pct"),"point",IF(AND(C85="geojson",B85="geom_lin"),"linestring",IF(C85="url","url_pattern",IF(C85="date","%Y-%M-%D",""))))))</f>
        <v/>
      </c>
      <c r="N85" s="2" t="str">
        <f aca="false">IF(G85="","",IF(G85="obligatoire","oui","non"))</f>
        <v>oui</v>
      </c>
      <c r="O85" s="20" t="str">
        <f aca="false">IF(H85="","","oui")</f>
        <v/>
      </c>
      <c r="P85" s="20" t="str">
        <f aca="false">IF(H85="","",H85)</f>
        <v/>
      </c>
      <c r="Q85" s="21" t="str">
        <f aca="false">IF(D85="","","oui")</f>
        <v/>
      </c>
      <c r="S85" s="26"/>
      <c r="T85" s="26"/>
    </row>
    <row r="86" customFormat="false" ht="12.75" hidden="false" customHeight="true" outlineLevel="0" collapsed="false">
      <c r="A86" s="1" t="s">
        <v>289</v>
      </c>
      <c r="B86" s="1" t="s">
        <v>298</v>
      </c>
      <c r="C86" s="23" t="s">
        <v>52</v>
      </c>
      <c r="D86" s="23"/>
      <c r="E86" s="1" t="s">
        <v>299</v>
      </c>
      <c r="F86" s="1" t="s">
        <v>299</v>
      </c>
      <c r="G86" s="1" t="s">
        <v>26</v>
      </c>
      <c r="H86" s="25"/>
      <c r="I86" s="25"/>
      <c r="J86" s="17" t="s">
        <v>300</v>
      </c>
      <c r="K86" s="20" t="str">
        <f aca="false">B86</f>
        <v>nom_ligne</v>
      </c>
      <c r="L86" s="21" t="str">
        <f aca="false">IF(C86="","",IF(C86="entier","integer",IF(C86="booléen","boolean",IF(C86="geojson","geojson",IF(C86="décimal","number",IF(C86="date","date","string"))))))</f>
        <v>string</v>
      </c>
      <c r="M86" s="21" t="str">
        <f aca="false">IF(LEFT(B86,9)="coord_gps","geopoint",IF(AND(C86="geojson",B86="geom_surf"),"polygon",IF(AND(C86="geojson",B86="geom_pct"),"point",IF(AND(C86="geojson",B86="geom_lin"),"linestring",IF(C86="url","url_pattern",IF(C86="date","%Y-%M-%D",""))))))</f>
        <v/>
      </c>
      <c r="N86" s="2" t="str">
        <f aca="false">IF(G86="","",IF(G86="obligatoire","oui","non"))</f>
        <v>oui</v>
      </c>
      <c r="O86" s="20" t="str">
        <f aca="false">IF(H86="","","oui")</f>
        <v/>
      </c>
      <c r="P86" s="20" t="str">
        <f aca="false">IF(H86="","",H86)</f>
        <v/>
      </c>
      <c r="Q86" s="21" t="str">
        <f aca="false">IF(D86="","","oui")</f>
        <v/>
      </c>
      <c r="S86" s="26"/>
      <c r="T86" s="26"/>
    </row>
    <row r="87" s="3" customFormat="true" ht="12.75" hidden="false" customHeight="true" outlineLevel="0" collapsed="false">
      <c r="A87" s="1" t="s">
        <v>289</v>
      </c>
      <c r="B87" s="31" t="s">
        <v>301</v>
      </c>
      <c r="C87" s="23" t="s">
        <v>56</v>
      </c>
      <c r="D87" s="23" t="s">
        <v>46</v>
      </c>
      <c r="E87" s="1" t="s">
        <v>302</v>
      </c>
      <c r="F87" s="1" t="s">
        <v>303</v>
      </c>
      <c r="G87" s="1" t="s">
        <v>26</v>
      </c>
      <c r="H87" s="31" t="s">
        <v>301</v>
      </c>
      <c r="I87" s="1" t="s">
        <v>304</v>
      </c>
      <c r="J87" s="17" t="s">
        <v>305</v>
      </c>
      <c r="K87" s="20" t="str">
        <f aca="false">B87</f>
        <v>type_tc</v>
      </c>
      <c r="L87" s="21" t="str">
        <f aca="false">IF(C87="","",IF(C87="entier","integer",IF(C87="booléen","boolean",IF(C87="geojson","geojson",IF(C87="décimal","number",IF(C87="date","date","string"))))))</f>
        <v>string</v>
      </c>
      <c r="M87" s="21" t="str">
        <f aca="false">IF(LEFT(B87,9)="coord_gps","geopoint",IF(AND(C87="geojson",B87="geom_surf"),"polygon",IF(AND(C87="geojson",B87="geom_pct"),"point",IF(AND(C87="geojson",B87="geom_lin"),"linestring",IF(C87="url","url_pattern",IF(C87="date","%Y-%M-%D",""))))))</f>
        <v/>
      </c>
      <c r="N87" s="2" t="str">
        <f aca="false">IF(G87="","",IF(G87="obligatoire","oui","non"))</f>
        <v>oui</v>
      </c>
      <c r="O87" s="20" t="str">
        <f aca="false">IF(H87="","","oui")</f>
        <v>oui</v>
      </c>
      <c r="P87" s="20" t="str">
        <f aca="false">IF(H87="","",H87)</f>
        <v>type_tc</v>
      </c>
      <c r="Q87" s="21" t="str">
        <f aca="false">IF(D87="","","oui")</f>
        <v>oui</v>
      </c>
      <c r="R87" s="1"/>
      <c r="S87" s="26"/>
      <c r="T87" s="26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0"/>
      <c r="AP87" s="0"/>
      <c r="AQ87" s="0"/>
      <c r="AR87" s="0"/>
      <c r="AS87" s="0"/>
      <c r="AT87" s="0"/>
      <c r="AU87" s="0"/>
      <c r="AV87" s="0"/>
    </row>
    <row r="88" customFormat="false" ht="12.75" hidden="false" customHeight="true" outlineLevel="0" collapsed="false">
      <c r="A88" s="1" t="s">
        <v>289</v>
      </c>
      <c r="B88" s="1" t="s">
        <v>306</v>
      </c>
      <c r="C88" s="23" t="s">
        <v>43</v>
      </c>
      <c r="D88" s="23"/>
      <c r="E88" s="1" t="s">
        <v>307</v>
      </c>
      <c r="F88" s="1" t="s">
        <v>307</v>
      </c>
      <c r="G88" s="1" t="s">
        <v>26</v>
      </c>
      <c r="H88" s="25"/>
      <c r="I88" s="25"/>
      <c r="J88" s="17" t="s">
        <v>46</v>
      </c>
      <c r="K88" s="20" t="str">
        <f aca="false">B88</f>
        <v>arret_pmr</v>
      </c>
      <c r="L88" s="21" t="str">
        <f aca="false">IF(C88="","",IF(C88="entier","integer",IF(C88="booléen","boolean",IF(C88="geojson","geojson",IF(C88="décimal","number",IF(C88="date","date","string"))))))</f>
        <v>boolean</v>
      </c>
      <c r="M88" s="21" t="str">
        <f aca="false">IF(LEFT(B88,9)="coord_gps","geopoint",IF(AND(C88="geojson",B88="geom_surf"),"polygon",IF(AND(C88="geojson",B88="geom_pct"),"point",IF(AND(C88="geojson",B88="geom_lin"),"linestring",IF(C88="url","url_pattern",IF(C88="date","%Y-%M-%D",""))))))</f>
        <v/>
      </c>
      <c r="N88" s="2" t="str">
        <f aca="false">IF(G88="","",IF(G88="obligatoire","oui","non"))</f>
        <v>oui</v>
      </c>
      <c r="O88" s="20" t="str">
        <f aca="false">IF(H88="","","oui")</f>
        <v/>
      </c>
      <c r="P88" s="20" t="str">
        <f aca="false">IF(H88="","",H88)</f>
        <v/>
      </c>
      <c r="Q88" s="21" t="str">
        <f aca="false">IF(D88="","","oui")</f>
        <v/>
      </c>
      <c r="S88" s="26"/>
      <c r="T88" s="26"/>
      <c r="AO88" s="3"/>
      <c r="AP88" s="3"/>
      <c r="AQ88" s="3"/>
      <c r="AR88" s="3"/>
      <c r="AS88" s="3"/>
      <c r="AT88" s="3"/>
      <c r="AU88" s="3"/>
      <c r="AV88" s="3"/>
    </row>
    <row r="89" customFormat="false" ht="12.75" hidden="false" customHeight="true" outlineLevel="0" collapsed="false">
      <c r="A89" s="1" t="s">
        <v>289</v>
      </c>
      <c r="B89" s="1" t="s">
        <v>308</v>
      </c>
      <c r="C89" s="23" t="s">
        <v>73</v>
      </c>
      <c r="D89" s="23"/>
      <c r="E89" s="1" t="s">
        <v>309</v>
      </c>
      <c r="F89" s="1" t="s">
        <v>309</v>
      </c>
      <c r="G89" s="1" t="s">
        <v>33</v>
      </c>
      <c r="H89" s="25"/>
      <c r="I89" s="25"/>
      <c r="J89" s="17" t="s">
        <v>76</v>
      </c>
      <c r="K89" s="20" t="str">
        <f aca="false">B89</f>
        <v>coord_gps_arret</v>
      </c>
      <c r="L89" s="21" t="str">
        <f aca="false">IF(C89="","",IF(C89="entier","integer",IF(C89="booléen","boolean",IF(C89="geojson","geojson",IF(C89="décimal","number",IF(C89="date","date","string"))))))</f>
        <v>geojson</v>
      </c>
      <c r="M89" s="21" t="str">
        <f aca="false">IF(LEFT(B89,9)="coord_gps","geopoint",IF(AND(C89="geojson",B89="geom_surf"),"polygon",IF(AND(C89="geojson",B89="geom_pct"),"point",IF(AND(C89="geojson",B89="geom_lin"),"linestring",IF(C89="url","url_pattern",IF(C89="date","%Y-%M-%D",""))))))</f>
        <v>geopoint</v>
      </c>
      <c r="N89" s="2" t="str">
        <f aca="false">IF(G89="","",IF(G89="obligatoire","oui","non"))</f>
        <v>non</v>
      </c>
      <c r="O89" s="20" t="str">
        <f aca="false">IF(H89="","","oui")</f>
        <v/>
      </c>
      <c r="P89" s="20" t="str">
        <f aca="false">IF(H89="","",H89)</f>
        <v/>
      </c>
      <c r="Q89" s="21" t="str">
        <f aca="false">IF(D89="","","oui")</f>
        <v/>
      </c>
      <c r="S89" s="26"/>
      <c r="T89" s="26"/>
      <c r="AO89" s="3"/>
      <c r="AP89" s="3"/>
      <c r="AQ89" s="3"/>
      <c r="AR89" s="3"/>
      <c r="AS89" s="3"/>
      <c r="AT89" s="3"/>
      <c r="AU89" s="3"/>
      <c r="AV89" s="3"/>
    </row>
    <row r="90" customFormat="false" ht="12.75" hidden="false" customHeight="true" outlineLevel="0" collapsed="false">
      <c r="A90" s="1" t="s">
        <v>289</v>
      </c>
      <c r="B90" s="37" t="s">
        <v>120</v>
      </c>
      <c r="C90" s="23" t="s">
        <v>272</v>
      </c>
      <c r="D90" s="23" t="s">
        <v>46</v>
      </c>
      <c r="E90" s="37" t="s">
        <v>310</v>
      </c>
      <c r="F90" s="37" t="s">
        <v>310</v>
      </c>
      <c r="G90" s="1" t="s">
        <v>33</v>
      </c>
      <c r="J90" s="17" t="s">
        <v>275</v>
      </c>
      <c r="K90" s="20" t="str">
        <f aca="false">B90</f>
        <v>url_media</v>
      </c>
      <c r="L90" s="21" t="str">
        <f aca="false">IF(C90="","",IF(C90="entier","integer",IF(C90="booléen","boolean",IF(C90="geojson","geojson",IF(C90="décimal","number",IF(C90="date","date","string"))))))</f>
        <v>string</v>
      </c>
      <c r="M90" s="21" t="str">
        <f aca="false">IF(LEFT(B90,9)="coord_gps","geopoint",IF(AND(C90="geojson",B90="geom_surf"),"polygon",IF(AND(C90="geojson",B90="geom_pct"),"point",IF(AND(C90="geojson",B90="geom_lin"),"linestring",IF(C90="url","url_pattern",IF(C90="date","%Y-%M-%D",""))))))</f>
        <v/>
      </c>
      <c r="N90" s="2" t="str">
        <f aca="false">IF(G90="","",IF(G90="obligatoire","oui","non"))</f>
        <v>non</v>
      </c>
      <c r="O90" s="20" t="str">
        <f aca="false">IF(H90="","","oui")</f>
        <v/>
      </c>
      <c r="P90" s="20" t="str">
        <f aca="false">IF(H90="","",H90)</f>
        <v/>
      </c>
      <c r="Q90" s="21" t="str">
        <f aca="false">IF(D90="","","oui")</f>
        <v>oui</v>
      </c>
      <c r="S90" s="26"/>
      <c r="AO90" s="3"/>
      <c r="AP90" s="3"/>
      <c r="AQ90" s="3"/>
      <c r="AR90" s="3"/>
      <c r="AS90" s="3"/>
      <c r="AT90" s="3"/>
      <c r="AU90" s="3"/>
      <c r="AV90" s="3"/>
    </row>
    <row r="91" customFormat="false" ht="12.75" hidden="false" customHeight="true" outlineLevel="0" collapsed="false">
      <c r="A91" s="1" t="s">
        <v>289</v>
      </c>
      <c r="B91" s="1" t="s">
        <v>285</v>
      </c>
      <c r="C91" s="23" t="s">
        <v>73</v>
      </c>
      <c r="D91" s="23"/>
      <c r="E91" s="1" t="s">
        <v>311</v>
      </c>
      <c r="F91" s="30" t="s">
        <v>287</v>
      </c>
      <c r="G91" s="1" t="s">
        <v>26</v>
      </c>
      <c r="H91" s="25"/>
      <c r="I91" s="25"/>
      <c r="J91" s="17" t="s">
        <v>288</v>
      </c>
      <c r="K91" s="20" t="str">
        <f aca="false">B91</f>
        <v>geom_pct</v>
      </c>
      <c r="L91" s="21" t="str">
        <f aca="false">IF(C91="","",IF(C91="entier","integer",IF(C91="booléen","boolean",IF(C91="geojson","geojson",IF(C91="décimal","number",IF(C91="date","date","string"))))))</f>
        <v>geojson</v>
      </c>
      <c r="M91" s="21" t="str">
        <f aca="false">IF(LEFT(B91,9)="coord_gps","geopoint",IF(AND(C91="geojson",B91="geom_surf"),"polygon",IF(AND(C91="geojson",B91="geom_pct"),"point",IF(AND(C91="geojson",B91="geom_lin"),"linestring",IF(C91="url","url_pattern",IF(C91="date","%Y-%M-%D",""))))))</f>
        <v>point</v>
      </c>
      <c r="N91" s="2" t="str">
        <f aca="false">IF(G91="","",IF(G91="obligatoire","oui","non"))</f>
        <v>oui</v>
      </c>
      <c r="O91" s="20" t="str">
        <f aca="false">IF(H91="","","oui")</f>
        <v/>
      </c>
      <c r="P91" s="20" t="str">
        <f aca="false">IF(H91="","",H91)</f>
        <v/>
      </c>
      <c r="Q91" s="21" t="str">
        <f aca="false">IF(D91="","","oui")</f>
        <v/>
      </c>
      <c r="S91" s="26"/>
      <c r="T91" s="26"/>
    </row>
    <row r="92" customFormat="false" ht="12.75" hidden="false" customHeight="true" outlineLevel="0" collapsed="false">
      <c r="C92" s="23"/>
      <c r="D92" s="23"/>
      <c r="H92" s="25"/>
      <c r="I92" s="25"/>
      <c r="J92" s="25"/>
      <c r="K92" s="20"/>
      <c r="L92" s="21" t="str">
        <f aca="false">IF(C92="","",IF(C92="entier","integer",IF(C92="booléen","boolean",IF(C92="geojson","geojson",IF(C92="décimal","number",IF(C92="date","date","string"))))))</f>
        <v/>
      </c>
      <c r="M92" s="21" t="str">
        <f aca="false">IF(LEFT(B92,9)="coord_gps","geopoint",IF(AND(C92="geojson",B92="geom_surf"),"polygon",IF(AND(C92="geojson",B92="geom_pct"),"point",IF(AND(C92="geojson",B92="geom_lin"),"linestring",IF(C92="url","url_pattern",IF(C92="date","%Y-%M-%D",""))))))</f>
        <v/>
      </c>
      <c r="N92" s="2" t="str">
        <f aca="false">IF(G92="","",IF(G92="obligatoire","oui","non"))</f>
        <v/>
      </c>
      <c r="O92" s="20" t="str">
        <f aca="false">IF(H92="","","oui")</f>
        <v/>
      </c>
      <c r="P92" s="20" t="str">
        <f aca="false">IF(H92="","",H92)</f>
        <v/>
      </c>
      <c r="Q92" s="21" t="str">
        <f aca="false">IF(D92="","","oui")</f>
        <v/>
      </c>
      <c r="S92" s="26"/>
      <c r="T92" s="26"/>
    </row>
    <row r="93" customFormat="false" ht="12.75" hidden="false" customHeight="true" outlineLevel="0" collapsed="false">
      <c r="A93" s="10" t="s">
        <v>312</v>
      </c>
      <c r="B93" s="12"/>
      <c r="C93" s="11"/>
      <c r="D93" s="11"/>
      <c r="E93" s="10"/>
      <c r="F93" s="11"/>
      <c r="G93" s="12"/>
      <c r="H93" s="13"/>
      <c r="I93" s="13"/>
      <c r="J93" s="13"/>
      <c r="K93" s="14"/>
      <c r="L93" s="14"/>
      <c r="M93" s="14"/>
      <c r="N93" s="48"/>
      <c r="O93" s="48"/>
      <c r="P93" s="48"/>
      <c r="Q93" s="48"/>
      <c r="R93" s="16"/>
      <c r="S93" s="12"/>
      <c r="T93" s="16" t="s">
        <v>21</v>
      </c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</row>
    <row r="94" customFormat="false" ht="12.75" hidden="false" customHeight="true" outlineLevel="0" collapsed="false">
      <c r="A94" s="1" t="s">
        <v>312</v>
      </c>
      <c r="B94" s="17" t="s">
        <v>313</v>
      </c>
      <c r="C94" s="18" t="s">
        <v>23</v>
      </c>
      <c r="D94" s="18"/>
      <c r="E94" s="18" t="s">
        <v>314</v>
      </c>
      <c r="F94" s="18" t="s">
        <v>315</v>
      </c>
      <c r="G94" s="1" t="s">
        <v>26</v>
      </c>
      <c r="H94" s="19"/>
      <c r="I94" s="19"/>
      <c r="J94" s="19" t="s">
        <v>316</v>
      </c>
      <c r="K94" s="20" t="str">
        <f aca="false">B94</f>
        <v>id_aire_stationnement</v>
      </c>
      <c r="L94" s="21" t="str">
        <f aca="false">IF(C94="","",IF(C94="entier","integer",IF(C94="booléen","boolean",IF(C94="geojson","geojson",IF(C94="décimal","number",IF(C94="date","date","string"))))))</f>
        <v>string</v>
      </c>
      <c r="M94" s="21" t="str">
        <f aca="false">IF(LEFT(B94,9)="coord_gps","geopoint",IF(AND(C94="geojson",B94="geom_surf"),"polygon",IF(AND(C94="geojson",B94="geom_pct"),"point",IF(AND(C94="geojson",B94="geom_lin"),"linestring",IF(C94="url","url_pattern",IF(C94="date","%Y-%M-%D",""))))))</f>
        <v/>
      </c>
      <c r="N94" s="2" t="str">
        <f aca="false">IF(G94="","",IF(G94="obligatoire","oui","non"))</f>
        <v>oui</v>
      </c>
      <c r="O94" s="20" t="str">
        <f aca="false">IF(H94="","","oui")</f>
        <v/>
      </c>
      <c r="P94" s="20" t="str">
        <f aca="false">IF(H94="","",H94)</f>
        <v/>
      </c>
      <c r="Q94" s="21" t="str">
        <f aca="false">IF(D94="","","oui")</f>
        <v/>
      </c>
      <c r="R94" s="22" t="s">
        <v>28</v>
      </c>
      <c r="S94" s="17"/>
      <c r="T94" s="22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s="3" customFormat="true" ht="12.75" hidden="false" customHeight="true" outlineLevel="0" collapsed="false">
      <c r="A95" s="1" t="s">
        <v>312</v>
      </c>
      <c r="B95" s="1" t="s">
        <v>317</v>
      </c>
      <c r="C95" s="23" t="s">
        <v>52</v>
      </c>
      <c r="D95" s="23"/>
      <c r="E95" s="1" t="s">
        <v>318</v>
      </c>
      <c r="F95" s="1" t="s">
        <v>318</v>
      </c>
      <c r="G95" s="1" t="s">
        <v>26</v>
      </c>
      <c r="H95" s="25"/>
      <c r="I95" s="25"/>
      <c r="J95" s="25" t="s">
        <v>319</v>
      </c>
      <c r="K95" s="20" t="str">
        <f aca="false">B95</f>
        <v>nom_aire</v>
      </c>
      <c r="L95" s="21" t="str">
        <f aca="false">IF(C95="","",IF(C95="entier","integer",IF(C95="booléen","boolean",IF(C95="geojson","geojson",IF(C95="décimal","number",IF(C95="date","date","string"))))))</f>
        <v>string</v>
      </c>
      <c r="M95" s="21" t="str">
        <f aca="false">IF(LEFT(B95,9)="coord_gps","geopoint",IF(AND(C95="geojson",B95="geom_surf"),"polygon",IF(AND(C95="geojson",B95="geom_pct"),"point",IF(AND(C95="geojson",B95="geom_lin"),"linestring",IF(C95="url","url_pattern",IF(C95="date","%Y-%M-%D",""))))))</f>
        <v/>
      </c>
      <c r="N95" s="2" t="str">
        <f aca="false">IF(G95="","",IF(G95="obligatoire","oui","non"))</f>
        <v>oui</v>
      </c>
      <c r="O95" s="20" t="str">
        <f aca="false">IF(H95="","","oui")</f>
        <v/>
      </c>
      <c r="P95" s="20" t="str">
        <f aca="false">IF(H95="","",H95)</f>
        <v/>
      </c>
      <c r="Q95" s="21" t="str">
        <f aca="false">IF(D95="","","oui")</f>
        <v/>
      </c>
      <c r="R95" s="1"/>
      <c r="S95" s="1"/>
      <c r="T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0"/>
      <c r="AP95" s="0"/>
      <c r="AQ95" s="0"/>
      <c r="AR95" s="0"/>
      <c r="AS95" s="0"/>
      <c r="AT95" s="0"/>
      <c r="AU95" s="0"/>
      <c r="AV95" s="0"/>
    </row>
    <row r="96" customFormat="false" ht="12.75" hidden="false" customHeight="true" outlineLevel="0" collapsed="false">
      <c r="A96" s="1" t="s">
        <v>312</v>
      </c>
      <c r="B96" s="1" t="s">
        <v>320</v>
      </c>
      <c r="C96" s="23" t="s">
        <v>52</v>
      </c>
      <c r="D96" s="23"/>
      <c r="E96" s="1" t="s">
        <v>321</v>
      </c>
      <c r="F96" s="1" t="s">
        <v>321</v>
      </c>
      <c r="G96" s="1" t="s">
        <v>33</v>
      </c>
      <c r="H96" s="25"/>
      <c r="I96" s="25"/>
      <c r="J96" s="25" t="s">
        <v>322</v>
      </c>
      <c r="K96" s="20" t="str">
        <f aca="false">B96</f>
        <v>adresse_aire</v>
      </c>
      <c r="L96" s="21" t="str">
        <f aca="false">IF(C96="","",IF(C96="entier","integer",IF(C96="booléen","boolean",IF(C96="geojson","geojson",IF(C96="décimal","number",IF(C96="date","date","string"))))))</f>
        <v>string</v>
      </c>
      <c r="M96" s="21" t="str">
        <f aca="false">IF(LEFT(B96,9)="coord_gps","geopoint",IF(AND(C96="geojson",B96="geom_surf"),"polygon",IF(AND(C96="geojson",B96="geom_pct"),"point",IF(AND(C96="geojson",B96="geom_lin"),"linestring",IF(C96="url","url_pattern",IF(C96="date","%Y-%M-%D",""))))))</f>
        <v/>
      </c>
      <c r="N96" s="2" t="str">
        <f aca="false">IF(G96="","",IF(G96="obligatoire","oui","non"))</f>
        <v>non</v>
      </c>
      <c r="O96" s="20" t="str">
        <f aca="false">IF(H96="","","oui")</f>
        <v/>
      </c>
      <c r="P96" s="20" t="str">
        <f aca="false">IF(H96="","",H96)</f>
        <v/>
      </c>
      <c r="Q96" s="21" t="str">
        <f aca="false">IF(D96="","","oui")</f>
        <v/>
      </c>
      <c r="T96" s="26"/>
      <c r="AO96" s="3"/>
      <c r="AP96" s="3"/>
      <c r="AQ96" s="3"/>
      <c r="AR96" s="3"/>
      <c r="AS96" s="3"/>
      <c r="AT96" s="3"/>
      <c r="AU96" s="3"/>
      <c r="AV96" s="3"/>
    </row>
    <row r="97" customFormat="false" ht="12.75" hidden="false" customHeight="true" outlineLevel="0" collapsed="false">
      <c r="A97" s="1" t="s">
        <v>312</v>
      </c>
      <c r="B97" s="31" t="s">
        <v>323</v>
      </c>
      <c r="C97" s="23" t="s">
        <v>56</v>
      </c>
      <c r="D97" s="23"/>
      <c r="E97" s="53" t="s">
        <v>324</v>
      </c>
      <c r="F97" s="53" t="s">
        <v>324</v>
      </c>
      <c r="G97" s="54" t="s">
        <v>26</v>
      </c>
      <c r="H97" s="31" t="s">
        <v>323</v>
      </c>
      <c r="I97" s="1" t="s">
        <v>325</v>
      </c>
      <c r="J97" s="34" t="s">
        <v>325</v>
      </c>
      <c r="K97" s="20" t="str">
        <f aca="false">B97</f>
        <v>localisation_stationnement</v>
      </c>
      <c r="L97" s="21" t="str">
        <f aca="false">IF(C97="","",IF(C97="entier","integer",IF(C97="booléen","boolean",IF(C97="geojson","geojson",IF(C97="décimal","number",IF(C97="date","date","string"))))))</f>
        <v>string</v>
      </c>
      <c r="M97" s="21" t="str">
        <f aca="false">IF(LEFT(B97,9)="coord_gps","geopoint",IF(AND(C97="geojson",B97="geom_surf"),"polygon",IF(AND(C97="geojson",B97="geom_pct"),"point",IF(AND(C97="geojson",B97="geom_lin"),"linestring",IF(C97="url","url_pattern",IF(C97="date","%Y-%M-%D",""))))))</f>
        <v/>
      </c>
      <c r="N97" s="2" t="str">
        <f aca="false">IF(G97="","",IF(G97="obligatoire","oui","non"))</f>
        <v>oui</v>
      </c>
      <c r="O97" s="20" t="str">
        <f aca="false">IF(H97="","","oui")</f>
        <v>oui</v>
      </c>
      <c r="P97" s="20" t="str">
        <f aca="false">IF(H97="","",H97)</f>
        <v>localisation_stationnement</v>
      </c>
      <c r="Q97" s="21" t="str">
        <f aca="false">IF(D97="","","oui")</f>
        <v/>
      </c>
      <c r="T97" s="26"/>
      <c r="AO97" s="3"/>
      <c r="AP97" s="3"/>
      <c r="AQ97" s="3"/>
      <c r="AR97" s="3"/>
      <c r="AS97" s="3"/>
      <c r="AT97" s="3"/>
      <c r="AU97" s="3"/>
      <c r="AV97" s="3"/>
    </row>
    <row r="98" customFormat="false" ht="12.75" hidden="false" customHeight="true" outlineLevel="0" collapsed="false">
      <c r="A98" s="1" t="s">
        <v>312</v>
      </c>
      <c r="B98" s="30" t="s">
        <v>162</v>
      </c>
      <c r="C98" s="23" t="s">
        <v>56</v>
      </c>
      <c r="D98" s="24"/>
      <c r="E98" s="18" t="s">
        <v>246</v>
      </c>
      <c r="F98" s="18" t="s">
        <v>326</v>
      </c>
      <c r="G98" s="54" t="s">
        <v>26</v>
      </c>
      <c r="H98" s="30" t="s">
        <v>162</v>
      </c>
      <c r="I98" s="1" t="s">
        <v>327</v>
      </c>
      <c r="J98" s="1" t="s">
        <v>327</v>
      </c>
      <c r="K98" s="20" t="str">
        <f aca="false">B98</f>
        <v>type_sol</v>
      </c>
      <c r="L98" s="21" t="str">
        <f aca="false">IF(C98="","",IF(C98="entier","integer",IF(C98="booléen","boolean",IF(C98="geojson","geojson",IF(C98="décimal","number",IF(C98="date","date","string"))))))</f>
        <v>string</v>
      </c>
      <c r="M98" s="21" t="str">
        <f aca="false">IF(LEFT(B98,9)="coord_gps","geopoint",IF(AND(C98="geojson",B98="geom_surf"),"polygon",IF(AND(C98="geojson",B98="geom_pct"),"point",IF(AND(C98="geojson",B98="geom_lin"),"linestring",IF(C98="url","url_pattern",IF(C98="date","%Y-%M-%D",""))))))</f>
        <v/>
      </c>
      <c r="N98" s="2" t="str">
        <f aca="false">IF(G98="","",IF(G98="obligatoire","oui","non"))</f>
        <v>oui</v>
      </c>
      <c r="O98" s="20" t="str">
        <f aca="false">IF(H98="","","oui")</f>
        <v>oui</v>
      </c>
      <c r="P98" s="20" t="str">
        <f aca="false">IF(H98="","",H98)</f>
        <v>type_sol</v>
      </c>
      <c r="Q98" s="21" t="str">
        <f aca="false">IF(D98="","","oui")</f>
        <v/>
      </c>
      <c r="T98" s="26" t="s">
        <v>21</v>
      </c>
    </row>
    <row r="99" customFormat="false" ht="12.75" hidden="false" customHeight="true" outlineLevel="0" collapsed="false">
      <c r="A99" s="1" t="s">
        <v>312</v>
      </c>
      <c r="B99" s="51" t="s">
        <v>167</v>
      </c>
      <c r="C99" s="23" t="s">
        <v>56</v>
      </c>
      <c r="D99" s="23"/>
      <c r="E99" s="18" t="s">
        <v>249</v>
      </c>
      <c r="F99" s="18" t="s">
        <v>249</v>
      </c>
      <c r="G99" s="1" t="s">
        <v>26</v>
      </c>
      <c r="H99" s="51" t="s">
        <v>167</v>
      </c>
      <c r="I99" s="25" t="s">
        <v>169</v>
      </c>
      <c r="J99" s="25" t="s">
        <v>169</v>
      </c>
      <c r="K99" s="20" t="str">
        <f aca="false">B99</f>
        <v>etat_sol</v>
      </c>
      <c r="L99" s="21" t="str">
        <f aca="false">IF(C99="","",IF(C99="entier","integer",IF(C99="booléen","boolean",IF(C99="geojson","geojson",IF(C99="décimal","number",IF(C99="date","date","string"))))))</f>
        <v>string</v>
      </c>
      <c r="M99" s="21" t="str">
        <f aca="false">IF(LEFT(B99,9)="coord_gps","geopoint",IF(AND(C99="geojson",B99="geom_surf"),"polygon",IF(AND(C99="geojson",B99="geom_pct"),"point",IF(AND(C99="geojson",B99="geom_lin"),"linestring",IF(C99="url","url_pattern",IF(C99="date","%Y-%M-%D",""))))))</f>
        <v/>
      </c>
      <c r="N99" s="2" t="str">
        <f aca="false">IF(G99="","",IF(G99="obligatoire","oui","non"))</f>
        <v>oui</v>
      </c>
      <c r="O99" s="20" t="str">
        <f aca="false">IF(H99="","","oui")</f>
        <v>oui</v>
      </c>
      <c r="P99" s="20" t="str">
        <f aca="false">IF(H99="","",H99)</f>
        <v>etat_sol</v>
      </c>
      <c r="Q99" s="21" t="str">
        <f aca="false">IF(D99="","","oui")</f>
        <v/>
      </c>
    </row>
    <row r="100" customFormat="false" ht="12.75" hidden="false" customHeight="true" outlineLevel="0" collapsed="false">
      <c r="A100" s="1" t="s">
        <v>312</v>
      </c>
      <c r="B100" s="1" t="s">
        <v>328</v>
      </c>
      <c r="C100" s="23" t="s">
        <v>35</v>
      </c>
      <c r="D100" s="23"/>
      <c r="E100" s="1" t="s">
        <v>329</v>
      </c>
      <c r="F100" s="1" t="s">
        <v>329</v>
      </c>
      <c r="G100" s="1" t="s">
        <v>26</v>
      </c>
      <c r="H100" s="25"/>
      <c r="I100" s="25"/>
      <c r="J100" s="25" t="n">
        <v>3</v>
      </c>
      <c r="K100" s="20" t="str">
        <f aca="false">B100</f>
        <v>nb_place_pmr</v>
      </c>
      <c r="L100" s="21" t="str">
        <f aca="false">IF(C100="","",IF(C100="entier","integer",IF(C100="booléen","boolean",IF(C100="geojson","geojson",IF(C100="décimal","number",IF(C100="date","date","string"))))))</f>
        <v>integer</v>
      </c>
      <c r="M100" s="21" t="str">
        <f aca="false">IF(LEFT(B100,9)="coord_gps","geopoint",IF(AND(C100="geojson",B100="geom_surf"),"polygon",IF(AND(C100="geojson",B100="geom_pct"),"point",IF(AND(C100="geojson",B100="geom_lin"),"linestring",IF(C100="url","url_pattern",IF(C100="date","%Y-%M-%D",""))))))</f>
        <v/>
      </c>
      <c r="N100" s="2" t="str">
        <f aca="false">IF(G100="","",IF(G100="obligatoire","oui","non"))</f>
        <v>oui</v>
      </c>
      <c r="O100" s="20" t="str">
        <f aca="false">IF(H100="","","oui")</f>
        <v/>
      </c>
      <c r="P100" s="20" t="str">
        <f aca="false">IF(H100="","",H100)</f>
        <v/>
      </c>
      <c r="Q100" s="21" t="str">
        <f aca="false">IF(D100="","","oui")</f>
        <v/>
      </c>
      <c r="T100" s="26" t="s">
        <v>21</v>
      </c>
    </row>
    <row r="101" customFormat="false" ht="12.75" hidden="false" customHeight="true" outlineLevel="0" collapsed="false">
      <c r="A101" s="1" t="s">
        <v>312</v>
      </c>
      <c r="B101" s="1" t="s">
        <v>330</v>
      </c>
      <c r="C101" s="23" t="s">
        <v>35</v>
      </c>
      <c r="D101" s="23"/>
      <c r="E101" s="1" t="s">
        <v>331</v>
      </c>
      <c r="F101" s="1" t="s">
        <v>331</v>
      </c>
      <c r="G101" s="1" t="s">
        <v>33</v>
      </c>
      <c r="H101" s="25"/>
      <c r="I101" s="25"/>
      <c r="J101" s="25" t="n">
        <v>0</v>
      </c>
      <c r="K101" s="20" t="str">
        <f aca="false">B101</f>
        <v>nb_place_allongee</v>
      </c>
      <c r="L101" s="21" t="str">
        <f aca="false">IF(C101="","",IF(C101="entier","integer",IF(C101="booléen","boolean",IF(C101="geojson","geojson",IF(C101="décimal","number",IF(C101="date","date","string"))))))</f>
        <v>integer</v>
      </c>
      <c r="M101" s="21" t="str">
        <f aca="false">IF(LEFT(B101,9)="coord_gps","geopoint",IF(AND(C101="geojson",B101="geom_surf"),"polygon",IF(AND(C101="geojson",B101="geom_pct"),"point",IF(AND(C101="geojson",B101="geom_lin"),"linestring",IF(C101="url","url_pattern",IF(C101="date","%Y-%M-%D",""))))))</f>
        <v/>
      </c>
      <c r="N101" s="2" t="str">
        <f aca="false">IF(G101="","",IF(G101="obligatoire","oui","non"))</f>
        <v>non</v>
      </c>
      <c r="O101" s="20" t="str">
        <f aca="false">IF(H101="","","oui")</f>
        <v/>
      </c>
      <c r="P101" s="20" t="str">
        <f aca="false">IF(H101="","",H101)</f>
        <v/>
      </c>
      <c r="Q101" s="21" t="str">
        <f aca="false">IF(D101="","","oui")</f>
        <v/>
      </c>
      <c r="T101" s="26" t="s">
        <v>21</v>
      </c>
    </row>
    <row r="102" customFormat="false" ht="12.75" hidden="false" customHeight="true" outlineLevel="0" collapsed="false">
      <c r="A102" s="1" t="s">
        <v>312</v>
      </c>
      <c r="B102" s="1" t="s">
        <v>332</v>
      </c>
      <c r="C102" s="23" t="s">
        <v>43</v>
      </c>
      <c r="D102" s="23"/>
      <c r="E102" s="1" t="s">
        <v>333</v>
      </c>
      <c r="F102" s="1" t="s">
        <v>334</v>
      </c>
      <c r="G102" s="1" t="s">
        <v>33</v>
      </c>
      <c r="H102" s="25"/>
      <c r="I102" s="25"/>
      <c r="J102" s="25" t="s">
        <v>46</v>
      </c>
      <c r="K102" s="20" t="str">
        <f aca="false">B102</f>
        <v>signaletique_pmr</v>
      </c>
      <c r="L102" s="21" t="str">
        <f aca="false">IF(C102="","",IF(C102="entier","integer",IF(C102="booléen","boolean",IF(C102="geojson","geojson",IF(C102="décimal","number",IF(C102="date","date","string"))))))</f>
        <v>boolean</v>
      </c>
      <c r="M102" s="21" t="str">
        <f aca="false">IF(LEFT(B102,9)="coord_gps","geopoint",IF(AND(C102="geojson",B102="geom_surf"),"polygon",IF(AND(C102="geojson",B102="geom_pct"),"point",IF(AND(C102="geojson",B102="geom_lin"),"linestring",IF(C102="url","url_pattern",IF(C102="date","%Y-%M-%D",""))))))</f>
        <v/>
      </c>
      <c r="N102" s="2" t="str">
        <f aca="false">IF(G102="","",IF(G102="obligatoire","oui","non"))</f>
        <v>non</v>
      </c>
      <c r="O102" s="20" t="str">
        <f aca="false">IF(H102="","","oui")</f>
        <v/>
      </c>
      <c r="P102" s="20" t="str">
        <f aca="false">IF(H102="","",H102)</f>
        <v/>
      </c>
      <c r="Q102" s="21" t="str">
        <f aca="false">IF(D102="","","oui")</f>
        <v/>
      </c>
      <c r="T102" s="26" t="s">
        <v>21</v>
      </c>
    </row>
    <row r="103" customFormat="false" ht="12.75" hidden="false" customHeight="true" outlineLevel="0" collapsed="false">
      <c r="A103" s="1" t="s">
        <v>312</v>
      </c>
      <c r="B103" s="1" t="s">
        <v>335</v>
      </c>
      <c r="C103" s="23" t="s">
        <v>43</v>
      </c>
      <c r="D103" s="23"/>
      <c r="E103" s="1" t="s">
        <v>336</v>
      </c>
      <c r="F103" s="1" t="s">
        <v>337</v>
      </c>
      <c r="G103" s="1" t="s">
        <v>26</v>
      </c>
      <c r="H103" s="25"/>
      <c r="I103" s="25"/>
      <c r="J103" s="25" t="s">
        <v>46</v>
      </c>
      <c r="K103" s="20" t="str">
        <f aca="false">B103</f>
        <v>marquage_sol</v>
      </c>
      <c r="L103" s="21" t="str">
        <f aca="false">IF(C103="","",IF(C103="entier","integer",IF(C103="booléen","boolean",IF(C103="geojson","geojson",IF(C103="décimal","number",IF(C103="date","date","string"))))))</f>
        <v>boolean</v>
      </c>
      <c r="M103" s="21" t="str">
        <f aca="false">IF(LEFT(B103,9)="coord_gps","geopoint",IF(AND(C103="geojson",B103="geom_surf"),"polygon",IF(AND(C103="geojson",B103="geom_pct"),"point",IF(AND(C103="geojson",B103="geom_lin"),"linestring",IF(C103="url","url_pattern",IF(C103="date","%Y-%M-%D",""))))))</f>
        <v/>
      </c>
      <c r="N103" s="2" t="str">
        <f aca="false">IF(G103="","",IF(G103="obligatoire","oui","non"))</f>
        <v>oui</v>
      </c>
      <c r="O103" s="20" t="str">
        <f aca="false">IF(H103="","","oui")</f>
        <v/>
      </c>
      <c r="P103" s="20" t="str">
        <f aca="false">IF(H103="","",H103)</f>
        <v/>
      </c>
      <c r="Q103" s="21" t="str">
        <f aca="false">IF(D103="","","oui")</f>
        <v/>
      </c>
      <c r="T103" s="26"/>
    </row>
    <row r="104" customFormat="false" ht="12.75" hidden="false" customHeight="true" outlineLevel="0" collapsed="false">
      <c r="A104" s="1" t="s">
        <v>312</v>
      </c>
      <c r="B104" s="25" t="s">
        <v>147</v>
      </c>
      <c r="C104" s="23" t="s">
        <v>56</v>
      </c>
      <c r="D104" s="23"/>
      <c r="E104" s="1" t="s">
        <v>338</v>
      </c>
      <c r="F104" s="1" t="s">
        <v>339</v>
      </c>
      <c r="G104" s="1" t="s">
        <v>26</v>
      </c>
      <c r="H104" s="25" t="s">
        <v>147</v>
      </c>
      <c r="I104" s="25"/>
      <c r="J104" s="25" t="s">
        <v>340</v>
      </c>
      <c r="K104" s="20" t="str">
        <f aca="false">B104</f>
        <v>pente</v>
      </c>
      <c r="L104" s="21" t="str">
        <f aca="false">IF(C104="","",IF(C104="entier","integer",IF(C104="booléen","boolean",IF(C104="geojson","geojson",IF(C104="décimal","number",IF(C104="date","date","string"))))))</f>
        <v>string</v>
      </c>
      <c r="M104" s="21" t="str">
        <f aca="false">IF(LEFT(B104,9)="coord_gps","geopoint",IF(AND(C104="geojson",B104="geom_surf"),"polygon",IF(AND(C104="geojson",B104="geom_pct"),"point",IF(AND(C104="geojson",B104="geom_lin"),"linestring",IF(C104="url","url_pattern",IF(C104="date","%Y-%M-%D",""))))))</f>
        <v/>
      </c>
      <c r="N104" s="2" t="str">
        <f aca="false">IF(G104="","",IF(G104="obligatoire","oui","non"))</f>
        <v>oui</v>
      </c>
      <c r="O104" s="20" t="str">
        <f aca="false">IF(H104="","","oui")</f>
        <v>oui</v>
      </c>
      <c r="P104" s="20" t="str">
        <f aca="false">IF(H104="","",H104)</f>
        <v>pente</v>
      </c>
      <c r="Q104" s="21" t="str">
        <f aca="false">IF(D104="","","oui")</f>
        <v/>
      </c>
      <c r="T104" s="26"/>
    </row>
    <row r="105" s="3" customFormat="true" ht="12.75" hidden="false" customHeight="true" outlineLevel="0" collapsed="false">
      <c r="A105" s="1" t="s">
        <v>312</v>
      </c>
      <c r="B105" s="32" t="s">
        <v>152</v>
      </c>
      <c r="C105" s="23" t="s">
        <v>56</v>
      </c>
      <c r="D105" s="23"/>
      <c r="E105" s="1" t="s">
        <v>341</v>
      </c>
      <c r="F105" s="1" t="s">
        <v>342</v>
      </c>
      <c r="G105" s="1" t="s">
        <v>26</v>
      </c>
      <c r="H105" s="32" t="s">
        <v>152</v>
      </c>
      <c r="I105" s="25"/>
      <c r="J105" s="25" t="s">
        <v>340</v>
      </c>
      <c r="K105" s="20" t="str">
        <f aca="false">B105</f>
        <v>devers</v>
      </c>
      <c r="L105" s="21" t="str">
        <f aca="false">IF(C105="","",IF(C105="entier","integer",IF(C105="booléen","boolean",IF(C105="geojson","geojson",IF(C105="décimal","number",IF(C105="date","date","string"))))))</f>
        <v>string</v>
      </c>
      <c r="M105" s="21" t="str">
        <f aca="false">IF(LEFT(B105,9)="coord_gps","geopoint",IF(AND(C105="geojson",B105="geom_surf"),"polygon",IF(AND(C105="geojson",B105="geom_pct"),"point",IF(AND(C105="geojson",B105="geom_lin"),"linestring",IF(C105="url","url_pattern",IF(C105="date","%Y-%M-%D",""))))))</f>
        <v/>
      </c>
      <c r="N105" s="2" t="str">
        <f aca="false">IF(G105="","",IF(G105="obligatoire","oui","non"))</f>
        <v>oui</v>
      </c>
      <c r="O105" s="20" t="str">
        <f aca="false">IF(H105="","","oui")</f>
        <v>oui</v>
      </c>
      <c r="P105" s="20" t="str">
        <f aca="false">IF(H105="","",H105)</f>
        <v>devers</v>
      </c>
      <c r="Q105" s="21" t="str">
        <f aca="false">IF(D105="","","oui")</f>
        <v/>
      </c>
      <c r="R105" s="1"/>
      <c r="S105" s="1"/>
      <c r="T105" s="26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0"/>
      <c r="AP105" s="0"/>
      <c r="AQ105" s="0"/>
      <c r="AR105" s="0"/>
      <c r="AS105" s="0"/>
      <c r="AT105" s="0"/>
      <c r="AU105" s="0"/>
      <c r="AV105" s="0"/>
    </row>
    <row r="106" customFormat="false" ht="12.75" hidden="false" customHeight="true" outlineLevel="0" collapsed="false">
      <c r="A106" s="1" t="s">
        <v>312</v>
      </c>
      <c r="B106" s="1" t="s">
        <v>187</v>
      </c>
      <c r="C106" s="23" t="s">
        <v>43</v>
      </c>
      <c r="D106" s="23"/>
      <c r="E106" s="1" t="s">
        <v>188</v>
      </c>
      <c r="F106" s="1" t="s">
        <v>343</v>
      </c>
      <c r="G106" s="1" t="s">
        <v>26</v>
      </c>
      <c r="H106" s="25"/>
      <c r="I106" s="25"/>
      <c r="J106" s="25" t="s">
        <v>46</v>
      </c>
      <c r="K106" s="20" t="str">
        <f aca="false">B106</f>
        <v>mobilier</v>
      </c>
      <c r="L106" s="21" t="str">
        <f aca="false">IF(C106="","",IF(C106="entier","integer",IF(C106="booléen","boolean",IF(C106="geojson","geojson",IF(C106="décimal","number",IF(C106="date","date","string"))))))</f>
        <v>boolean</v>
      </c>
      <c r="M106" s="21" t="str">
        <f aca="false">IF(LEFT(B106,9)="coord_gps","geopoint",IF(AND(C106="geojson",B106="geom_surf"),"polygon",IF(AND(C106="geojson",B106="geom_pct"),"point",IF(AND(C106="geojson",B106="geom_lin"),"linestring",IF(C106="url","url_pattern",IF(C106="date","%Y-%M-%D",""))))))</f>
        <v/>
      </c>
      <c r="N106" s="2" t="str">
        <f aca="false">IF(G106="","",IF(G106="obligatoire","oui","non"))</f>
        <v>oui</v>
      </c>
      <c r="O106" s="20" t="str">
        <f aca="false">IF(H106="","","oui")</f>
        <v/>
      </c>
      <c r="P106" s="20" t="str">
        <f aca="false">IF(H106="","",H106)</f>
        <v/>
      </c>
      <c r="Q106" s="21" t="str">
        <f aca="false">IF(D106="","","oui")</f>
        <v/>
      </c>
      <c r="T106" s="26"/>
      <c r="AO106" s="3"/>
      <c r="AP106" s="3"/>
      <c r="AQ106" s="3"/>
      <c r="AR106" s="3"/>
      <c r="AS106" s="3"/>
      <c r="AT106" s="3"/>
      <c r="AU106" s="3"/>
      <c r="AV106" s="3"/>
    </row>
    <row r="107" customFormat="false" ht="12.75" hidden="false" customHeight="true" outlineLevel="0" collapsed="false">
      <c r="A107" s="1" t="s">
        <v>312</v>
      </c>
      <c r="B107" s="1" t="s">
        <v>344</v>
      </c>
      <c r="C107" s="23" t="s">
        <v>43</v>
      </c>
      <c r="D107" s="23"/>
      <c r="E107" s="40" t="s">
        <v>345</v>
      </c>
      <c r="F107" s="40" t="s">
        <v>346</v>
      </c>
      <c r="G107" s="1" t="s">
        <v>26</v>
      </c>
      <c r="H107" s="25"/>
      <c r="I107" s="25"/>
      <c r="J107" s="25" t="s">
        <v>46</v>
      </c>
      <c r="K107" s="20" t="str">
        <f aca="false">B107</f>
        <v>accrochage_deux_roues</v>
      </c>
      <c r="L107" s="21" t="str">
        <f aca="false">IF(C107="","",IF(C107="entier","integer",IF(C107="booléen","boolean",IF(C107="geojson","geojson",IF(C107="décimal","number",IF(C107="date","date","string"))))))</f>
        <v>boolean</v>
      </c>
      <c r="M107" s="21" t="str">
        <f aca="false">IF(LEFT(B107,9)="coord_gps","geopoint",IF(AND(C107="geojson",B107="geom_surf"),"polygon",IF(AND(C107="geojson",B107="geom_pct"),"point",IF(AND(C107="geojson",B107="geom_lin"),"linestring",IF(C107="url","url_pattern",IF(C107="date","%Y-%M-%D",""))))))</f>
        <v/>
      </c>
      <c r="N107" s="2" t="str">
        <f aca="false">IF(G107="","",IF(G107="obligatoire","oui","non"))</f>
        <v>oui</v>
      </c>
      <c r="O107" s="20" t="str">
        <f aca="false">IF(H107="","","oui")</f>
        <v/>
      </c>
      <c r="P107" s="20" t="str">
        <f aca="false">IF(H107="","",H107)</f>
        <v/>
      </c>
      <c r="Q107" s="21" t="str">
        <f aca="false">IF(D107="","","oui")</f>
        <v/>
      </c>
      <c r="T107" s="26"/>
      <c r="AO107" s="3"/>
      <c r="AP107" s="3"/>
      <c r="AQ107" s="3"/>
      <c r="AR107" s="3"/>
      <c r="AS107" s="3"/>
      <c r="AT107" s="3"/>
      <c r="AU107" s="3"/>
      <c r="AV107" s="3"/>
    </row>
    <row r="108" customFormat="false" ht="12.75" hidden="false" customHeight="true" outlineLevel="0" collapsed="false">
      <c r="A108" s="1" t="s">
        <v>312</v>
      </c>
      <c r="B108" s="1" t="s">
        <v>347</v>
      </c>
      <c r="C108" s="23" t="s">
        <v>43</v>
      </c>
      <c r="D108" s="23"/>
      <c r="E108" s="1" t="s">
        <v>348</v>
      </c>
      <c r="F108" s="1" t="s">
        <v>349</v>
      </c>
      <c r="G108" s="1" t="s">
        <v>26</v>
      </c>
      <c r="H108" s="25"/>
      <c r="I108" s="25"/>
      <c r="J108" s="25" t="s">
        <v>194</v>
      </c>
      <c r="K108" s="20" t="str">
        <f aca="false">B108</f>
        <v>portique_limiteur</v>
      </c>
      <c r="L108" s="21" t="str">
        <f aca="false">IF(C108="","",IF(C108="entier","integer",IF(C108="booléen","boolean",IF(C108="geojson","geojson",IF(C108="décimal","number",IF(C108="date","date","string"))))))</f>
        <v>boolean</v>
      </c>
      <c r="M108" s="21" t="str">
        <f aca="false">IF(LEFT(B108,9)="coord_gps","geopoint",IF(AND(C108="geojson",B108="geom_surf"),"polygon",IF(AND(C108="geojson",B108="geom_pct"),"point",IF(AND(C108="geojson",B108="geom_lin"),"linestring",IF(C108="url","url_pattern",IF(C108="date","%Y-%M-%D",""))))))</f>
        <v/>
      </c>
      <c r="N108" s="2" t="str">
        <f aca="false">IF(G108="","",IF(G108="obligatoire","oui","non"))</f>
        <v>oui</v>
      </c>
      <c r="O108" s="20" t="str">
        <f aca="false">IF(H108="","","oui")</f>
        <v/>
      </c>
      <c r="P108" s="20" t="str">
        <f aca="false">IF(H108="","",H108)</f>
        <v/>
      </c>
      <c r="Q108" s="21" t="str">
        <f aca="false">IF(D108="","","oui")</f>
        <v/>
      </c>
    </row>
    <row r="109" customFormat="false" ht="12.75" hidden="false" customHeight="true" outlineLevel="0" collapsed="false">
      <c r="A109" s="1" t="s">
        <v>312</v>
      </c>
      <c r="B109" s="37" t="s">
        <v>120</v>
      </c>
      <c r="C109" s="23" t="s">
        <v>272</v>
      </c>
      <c r="D109" s="23" t="s">
        <v>46</v>
      </c>
      <c r="E109" s="37" t="s">
        <v>350</v>
      </c>
      <c r="F109" s="37" t="s">
        <v>351</v>
      </c>
      <c r="G109" s="1" t="s">
        <v>33</v>
      </c>
      <c r="J109" s="17" t="s">
        <v>275</v>
      </c>
      <c r="K109" s="20" t="str">
        <f aca="false">B109</f>
        <v>url_media</v>
      </c>
      <c r="L109" s="21" t="str">
        <f aca="false">IF(C109="","",IF(C109="entier","integer",IF(C109="booléen","boolean",IF(C109="geojson","geojson",IF(C109="décimal","number",IF(C109="date","date","string"))))))</f>
        <v>string</v>
      </c>
      <c r="M109" s="21" t="str">
        <f aca="false">IF(LEFT(B109,9)="coord_gps","geopoint",IF(AND(C109="geojson",B109="geom_surf"),"polygon",IF(AND(C109="geojson",B109="geom_pct"),"point",IF(AND(C109="geojson",B109="geom_lin"),"linestring",IF(C109="url","url_pattern",IF(C109="date","%Y-%M-%D",""))))))</f>
        <v/>
      </c>
      <c r="N109" s="2" t="str">
        <f aca="false">IF(G109="","",IF(G109="obligatoire","oui","non"))</f>
        <v>non</v>
      </c>
      <c r="O109" s="20" t="str">
        <f aca="false">IF(H109="","","oui")</f>
        <v/>
      </c>
      <c r="P109" s="20" t="str">
        <f aca="false">IF(H109="","",H109)</f>
        <v/>
      </c>
      <c r="Q109" s="21" t="str">
        <f aca="false">IF(D109="","","oui")</f>
        <v>oui</v>
      </c>
      <c r="S109" s="26"/>
      <c r="AO109" s="3"/>
      <c r="AP109" s="3"/>
      <c r="AQ109" s="3"/>
      <c r="AR109" s="3"/>
      <c r="AS109" s="3"/>
      <c r="AT109" s="3"/>
      <c r="AU109" s="3"/>
      <c r="AV109" s="3"/>
    </row>
    <row r="110" customFormat="false" ht="12.75" hidden="false" customHeight="true" outlineLevel="0" collapsed="false">
      <c r="A110" s="1" t="s">
        <v>312</v>
      </c>
      <c r="B110" s="1" t="s">
        <v>352</v>
      </c>
      <c r="C110" s="23" t="s">
        <v>73</v>
      </c>
      <c r="D110" s="23"/>
      <c r="E110" s="53" t="s">
        <v>353</v>
      </c>
      <c r="F110" s="53" t="s">
        <v>353</v>
      </c>
      <c r="G110" s="1" t="s">
        <v>33</v>
      </c>
      <c r="H110" s="25"/>
      <c r="I110" s="25"/>
      <c r="J110" s="1" t="s">
        <v>76</v>
      </c>
      <c r="K110" s="20" t="str">
        <f aca="false">B110</f>
        <v>coord_gps_aire</v>
      </c>
      <c r="L110" s="21" t="str">
        <f aca="false">IF(C110="","",IF(C110="entier","integer",IF(C110="booléen","boolean",IF(C110="geojson","geojson",IF(C110="décimal","number",IF(C110="date","date","string"))))))</f>
        <v>geojson</v>
      </c>
      <c r="M110" s="21" t="str">
        <f aca="false">IF(LEFT(B110,9)="coord_gps","geopoint",IF(AND(C110="geojson",B110="geom_surf"),"polygon",IF(AND(C110="geojson",B110="geom_pct"),"point",IF(AND(C110="geojson",B110="geom_lin"),"linestring",IF(C110="url","url_pattern",IF(C110="date","%Y-%M-%D",""))))))</f>
        <v>geopoint</v>
      </c>
      <c r="N110" s="2" t="str">
        <f aca="false">IF(G110="","",IF(G110="obligatoire","oui","non"))</f>
        <v>non</v>
      </c>
      <c r="O110" s="20" t="str">
        <f aca="false">IF(H110="","","oui")</f>
        <v/>
      </c>
      <c r="P110" s="20" t="str">
        <f aca="false">IF(H110="","",H110)</f>
        <v/>
      </c>
      <c r="Q110" s="21" t="str">
        <f aca="false">IF(D110="","","oui")</f>
        <v/>
      </c>
      <c r="T110" s="26"/>
    </row>
    <row r="111" customFormat="false" ht="12.75" hidden="false" customHeight="true" outlineLevel="0" collapsed="false">
      <c r="A111" s="1" t="s">
        <v>312</v>
      </c>
      <c r="B111" s="30" t="s">
        <v>354</v>
      </c>
      <c r="C111" s="23" t="s">
        <v>73</v>
      </c>
      <c r="D111" s="23"/>
      <c r="E111" s="1" t="s">
        <v>355</v>
      </c>
      <c r="F111" s="30" t="s">
        <v>356</v>
      </c>
      <c r="G111" s="1" t="s">
        <v>26</v>
      </c>
      <c r="H111" s="25"/>
      <c r="I111" s="25"/>
      <c r="J111" s="25" t="s">
        <v>288</v>
      </c>
      <c r="K111" s="20" t="str">
        <f aca="false">B111</f>
        <v>geom_surf</v>
      </c>
      <c r="L111" s="21" t="str">
        <f aca="false">IF(C111="","",IF(C111="entier","integer",IF(C111="booléen","boolean",IF(C111="geojson","geojson",IF(C111="décimal","number",IF(C111="date","date","string"))))))</f>
        <v>geojson</v>
      </c>
      <c r="M111" s="21" t="str">
        <f aca="false">IF(LEFT(B111,9)="coord_gps","geopoint",IF(AND(C111="geojson",B111="geom_surf"),"polygon",IF(AND(C111="geojson",B111="geom_pct"),"point",IF(AND(C111="geojson",B111="geom_lin"),"linestring",IF(C111="url","url_pattern",IF(C111="date","%Y-%M-%D",""))))))</f>
        <v>polygon</v>
      </c>
      <c r="N111" s="2" t="str">
        <f aca="false">IF(G111="","",IF(G111="obligatoire","oui","non"))</f>
        <v>oui</v>
      </c>
      <c r="O111" s="20" t="str">
        <f aca="false">IF(H111="","","oui")</f>
        <v/>
      </c>
      <c r="P111" s="20" t="str">
        <f aca="false">IF(H111="","",H111)</f>
        <v/>
      </c>
      <c r="Q111" s="21" t="str">
        <f aca="false">IF(D111="","","oui")</f>
        <v/>
      </c>
    </row>
    <row r="112" customFormat="false" ht="12.75" hidden="false" customHeight="true" outlineLevel="0" collapsed="false">
      <c r="C112" s="23"/>
      <c r="D112" s="23"/>
      <c r="H112" s="25"/>
      <c r="I112" s="25"/>
      <c r="J112" s="25"/>
      <c r="K112" s="20"/>
      <c r="L112" s="21" t="str">
        <f aca="false">IF(C112="","",IF(C112="entier","integer",IF(C112="booléen","boolean",IF(C112="geojson","geojson",IF(C112="décimal","number",IF(C112="date","date","string"))))))</f>
        <v/>
      </c>
      <c r="M112" s="21" t="str">
        <f aca="false">IF(LEFT(B112,9)="coord_gps","geopoint",IF(AND(C112="geojson",B112="geom_surf"),"polygon",IF(AND(C112="geojson",B112="geom_pct"),"point",IF(AND(C112="geojson",B112="geom_lin"),"linestring",IF(C112="url","url_pattern",IF(C112="date","%Y-%M-%D",""))))))</f>
        <v/>
      </c>
      <c r="N112" s="2" t="str">
        <f aca="false">IF(G112="","",IF(G112="obligatoire","oui","non"))</f>
        <v/>
      </c>
      <c r="O112" s="20" t="str">
        <f aca="false">IF(H112="","","oui")</f>
        <v/>
      </c>
      <c r="P112" s="20" t="str">
        <f aca="false">IF(H112="","",H112)</f>
        <v/>
      </c>
      <c r="Q112" s="21" t="str">
        <f aca="false">IF(D112="","","oui")</f>
        <v/>
      </c>
    </row>
    <row r="113" s="3" customFormat="true" ht="12.75" hidden="false" customHeight="true" outlineLevel="0" collapsed="false">
      <c r="A113" s="10" t="s">
        <v>357</v>
      </c>
      <c r="B113" s="12"/>
      <c r="C113" s="11"/>
      <c r="D113" s="11"/>
      <c r="E113" s="10"/>
      <c r="F113" s="11"/>
      <c r="G113" s="12"/>
      <c r="H113" s="13"/>
      <c r="I113" s="13"/>
      <c r="J113" s="13"/>
      <c r="K113" s="14"/>
      <c r="L113" s="14"/>
      <c r="M113" s="14"/>
      <c r="N113" s="48"/>
      <c r="O113" s="48"/>
      <c r="P113" s="48"/>
      <c r="Q113" s="48"/>
      <c r="R113" s="16"/>
      <c r="S113" s="12"/>
      <c r="T113" s="16" t="s">
        <v>21</v>
      </c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0"/>
      <c r="AP113" s="0"/>
      <c r="AQ113" s="0"/>
      <c r="AR113" s="0"/>
      <c r="AS113" s="0"/>
      <c r="AT113" s="0"/>
      <c r="AU113" s="0"/>
      <c r="AV113" s="0"/>
    </row>
    <row r="114" customFormat="false" ht="12.75" hidden="false" customHeight="true" outlineLevel="0" collapsed="false">
      <c r="A114" s="1" t="s">
        <v>357</v>
      </c>
      <c r="B114" s="17" t="s">
        <v>358</v>
      </c>
      <c r="C114" s="18" t="s">
        <v>23</v>
      </c>
      <c r="D114" s="18"/>
      <c r="E114" s="18" t="s">
        <v>359</v>
      </c>
      <c r="F114" s="18" t="s">
        <v>360</v>
      </c>
      <c r="G114" s="1" t="s">
        <v>26</v>
      </c>
      <c r="H114" s="17"/>
      <c r="I114" s="19"/>
      <c r="J114" s="19" t="s">
        <v>361</v>
      </c>
      <c r="K114" s="20" t="str">
        <f aca="false">B114</f>
        <v>id_mobilier</v>
      </c>
      <c r="L114" s="21" t="str">
        <f aca="false">IF(C114="","",IF(C114="entier","integer",IF(C114="booléen","boolean",IF(C114="geojson","geojson",IF(C114="décimal","number",IF(C114="date","date","string"))))))</f>
        <v>string</v>
      </c>
      <c r="M114" s="21" t="str">
        <f aca="false">IF(LEFT(B114,9)="coord_gps","geopoint",IF(AND(C114="geojson",B114="geom_surf"),"polygon",IF(AND(C114="geojson",B114="geom_pct"),"point",IF(AND(C114="geojson",B114="geom_lin"),"linestring",IF(C114="url","url_pattern",IF(C114="date","%Y-%M-%D",""))))))</f>
        <v/>
      </c>
      <c r="N114" s="2" t="str">
        <f aca="false">IF(G114="","",IF(G114="obligatoire","oui","non"))</f>
        <v>oui</v>
      </c>
      <c r="O114" s="20" t="str">
        <f aca="false">IF(H114="","","oui")</f>
        <v/>
      </c>
      <c r="P114" s="20" t="str">
        <f aca="false">IF(H114="","",H114)</f>
        <v/>
      </c>
      <c r="Q114" s="21" t="str">
        <f aca="false">IF(D114="","","oui")</f>
        <v/>
      </c>
      <c r="R114" s="22" t="s">
        <v>28</v>
      </c>
      <c r="S114" s="17"/>
      <c r="T114" s="22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3"/>
      <c r="AP114" s="3"/>
      <c r="AQ114" s="3"/>
      <c r="AR114" s="3"/>
      <c r="AS114" s="3"/>
      <c r="AT114" s="3"/>
      <c r="AU114" s="3"/>
      <c r="AV114" s="3"/>
    </row>
    <row r="115" customFormat="false" ht="12.75" hidden="false" customHeight="true" outlineLevel="0" collapsed="false">
      <c r="A115" s="1" t="s">
        <v>357</v>
      </c>
      <c r="B115" s="17" t="s">
        <v>362</v>
      </c>
      <c r="C115" s="18" t="s">
        <v>56</v>
      </c>
      <c r="D115" s="18"/>
      <c r="E115" s="18" t="s">
        <v>363</v>
      </c>
      <c r="F115" s="18" t="s">
        <v>363</v>
      </c>
      <c r="G115" s="1" t="s">
        <v>26</v>
      </c>
      <c r="H115" s="17" t="s">
        <v>362</v>
      </c>
      <c r="I115" s="19"/>
      <c r="J115" s="19" t="s">
        <v>364</v>
      </c>
      <c r="K115" s="20" t="str">
        <f aca="false">B115</f>
        <v>type_mobilier</v>
      </c>
      <c r="L115" s="21" t="str">
        <f aca="false">IF(C115="","",IF(C115="entier","integer",IF(C115="booléen","boolean",IF(C115="geojson","geojson",IF(C115="décimal","number",IF(C115="date","date","string"))))))</f>
        <v>string</v>
      </c>
      <c r="M115" s="21" t="str">
        <f aca="false">IF(LEFT(B115,9)="coord_gps","geopoint",IF(AND(C115="geojson",B115="geom_surf"),"polygon",IF(AND(C115="geojson",B115="geom_pct"),"point",IF(AND(C115="geojson",B115="geom_lin"),"linestring",IF(C115="url","url_pattern",IF(C115="date","%Y-%M-%D",""))))))</f>
        <v/>
      </c>
      <c r="N115" s="2" t="str">
        <f aca="false">IF(G115="","",IF(G115="obligatoire","oui","non"))</f>
        <v>oui</v>
      </c>
      <c r="O115" s="20" t="str">
        <f aca="false">IF(H115="","","oui")</f>
        <v>oui</v>
      </c>
      <c r="P115" s="20" t="str">
        <f aca="false">IF(H115="","",H115)</f>
        <v>type_mobilier</v>
      </c>
      <c r="Q115" s="21" t="str">
        <f aca="false">IF(D115="","","oui")</f>
        <v/>
      </c>
      <c r="R115" s="22"/>
      <c r="S115" s="17"/>
      <c r="T115" s="22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3"/>
      <c r="AP115" s="3"/>
      <c r="AQ115" s="3"/>
      <c r="AR115" s="3"/>
      <c r="AS115" s="3"/>
      <c r="AT115" s="3"/>
      <c r="AU115" s="3"/>
      <c r="AV115" s="3"/>
    </row>
    <row r="116" customFormat="false" ht="12.75" hidden="false" customHeight="true" outlineLevel="0" collapsed="false">
      <c r="A116" s="1" t="s">
        <v>357</v>
      </c>
      <c r="B116" s="17" t="s">
        <v>365</v>
      </c>
      <c r="C116" s="18"/>
      <c r="D116" s="18"/>
      <c r="E116" s="18" t="s">
        <v>366</v>
      </c>
      <c r="F116" s="18" t="s">
        <v>366</v>
      </c>
      <c r="G116" s="1" t="s">
        <v>26</v>
      </c>
      <c r="H116" s="17" t="s">
        <v>365</v>
      </c>
      <c r="I116" s="19"/>
      <c r="J116" s="19" t="s">
        <v>367</v>
      </c>
      <c r="K116" s="20" t="s">
        <v>365</v>
      </c>
      <c r="L116" s="21" t="s">
        <v>145</v>
      </c>
      <c r="M116" s="21"/>
      <c r="N116" s="2" t="str">
        <f aca="false">IF(G116="","",IF(G116="obligatoire","oui","non"))</f>
        <v>oui</v>
      </c>
      <c r="O116" s="20" t="str">
        <f aca="false">IF(H116="","","oui")</f>
        <v>oui</v>
      </c>
      <c r="P116" s="20" t="str">
        <f aca="false">IF(H116="","",H116)</f>
        <v>etat_mobilier</v>
      </c>
      <c r="Q116" s="21"/>
      <c r="R116" s="22"/>
      <c r="S116" s="17"/>
      <c r="T116" s="22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customFormat="false" ht="12.75" hidden="false" customHeight="true" outlineLevel="0" collapsed="false">
      <c r="A117" s="1" t="s">
        <v>357</v>
      </c>
      <c r="B117" s="37" t="s">
        <v>120</v>
      </c>
      <c r="C117" s="23" t="s">
        <v>272</v>
      </c>
      <c r="D117" s="23" t="s">
        <v>46</v>
      </c>
      <c r="E117" s="37" t="s">
        <v>368</v>
      </c>
      <c r="F117" s="37" t="s">
        <v>369</v>
      </c>
      <c r="G117" s="1" t="s">
        <v>33</v>
      </c>
      <c r="J117" s="17" t="s">
        <v>275</v>
      </c>
      <c r="K117" s="20" t="str">
        <f aca="false">B117</f>
        <v>url_media</v>
      </c>
      <c r="L117" s="21" t="str">
        <f aca="false">IF(C117="","",IF(C117="entier","integer",IF(C117="booléen","boolean",IF(C117="geojson","geojson",IF(C117="décimal","number",IF(C117="date","date","string"))))))</f>
        <v>string</v>
      </c>
      <c r="M117" s="21" t="str">
        <f aca="false">IF(LEFT(B117,9)="coord_gps","geopoint",IF(AND(C117="geojson",B117="geom_surf"),"polygon",IF(AND(C117="geojson",B117="geom_pct"),"point",IF(AND(C117="geojson",B117="geom_lin"),"linestring",IF(C117="url","url_pattern",IF(C117="date","%Y-%M-%D",""))))))</f>
        <v/>
      </c>
      <c r="N117" s="2" t="str">
        <f aca="false">IF(G117="","",IF(G117="obligatoire","oui","non"))</f>
        <v>non</v>
      </c>
      <c r="O117" s="20" t="str">
        <f aca="false">IF(H117="","","oui")</f>
        <v/>
      </c>
      <c r="P117" s="20" t="str">
        <f aca="false">IF(H117="","",H117)</f>
        <v/>
      </c>
      <c r="Q117" s="21" t="str">
        <f aca="false">IF(D117="","","oui")</f>
        <v>oui</v>
      </c>
      <c r="S117" s="26"/>
      <c r="AO117" s="3"/>
      <c r="AP117" s="3"/>
      <c r="AQ117" s="3"/>
      <c r="AR117" s="3"/>
      <c r="AS117" s="3"/>
      <c r="AT117" s="3"/>
      <c r="AU117" s="3"/>
      <c r="AV117" s="3"/>
    </row>
    <row r="118" customFormat="false" ht="12.75" hidden="false" customHeight="true" outlineLevel="0" collapsed="false">
      <c r="A118" s="1" t="s">
        <v>357</v>
      </c>
      <c r="B118" s="1" t="s">
        <v>285</v>
      </c>
      <c r="C118" s="23" t="s">
        <v>73</v>
      </c>
      <c r="D118" s="23"/>
      <c r="E118" s="1" t="s">
        <v>370</v>
      </c>
      <c r="F118" s="30" t="s">
        <v>371</v>
      </c>
      <c r="G118" s="1" t="s">
        <v>26</v>
      </c>
      <c r="H118" s="17"/>
      <c r="I118" s="19"/>
      <c r="J118" s="25" t="s">
        <v>288</v>
      </c>
      <c r="K118" s="20" t="str">
        <f aca="false">B118</f>
        <v>geom_pct</v>
      </c>
      <c r="L118" s="21" t="str">
        <f aca="false">IF(C118="","",IF(C118="entier","integer",IF(C118="booléen","boolean",IF(C118="geojson","geojson",IF(C118="décimal","number",IF(C118="date","date","string"))))))</f>
        <v>geojson</v>
      </c>
      <c r="M118" s="21" t="str">
        <f aca="false">IF(LEFT(B118,9)="coord_gps","geopoint",IF(AND(C118="geojson",B118="geom_surf"),"polygon",IF(AND(C118="geojson",B118="geom_pct"),"point",IF(AND(C118="geojson",B118="geom_lin"),"linestring",IF(C118="url","url_pattern",IF(C118="date","%Y-%M-%D",""))))))</f>
        <v>point</v>
      </c>
      <c r="N118" s="2" t="str">
        <f aca="false">IF(G118="","",IF(G118="obligatoire","oui","non"))</f>
        <v>oui</v>
      </c>
      <c r="O118" s="20" t="str">
        <f aca="false">IF(H118="","","oui")</f>
        <v/>
      </c>
      <c r="P118" s="20" t="str">
        <f aca="false">IF(H118="","",H118)</f>
        <v/>
      </c>
      <c r="Q118" s="21" t="str">
        <f aca="false">IF(D118="","","oui")</f>
        <v/>
      </c>
      <c r="R118" s="22"/>
      <c r="S118" s="17"/>
      <c r="T118" s="22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customFormat="false" ht="12.75" hidden="false" customHeight="true" outlineLevel="0" collapsed="false">
      <c r="C119" s="23"/>
      <c r="D119" s="23"/>
      <c r="H119" s="25"/>
      <c r="I119" s="25"/>
      <c r="J119" s="25"/>
      <c r="K119" s="20"/>
      <c r="L119" s="21" t="str">
        <f aca="false">IF(C119="","",IF(C119="entier","integer",IF(C119="booléen","boolean",IF(C119="geojson","geojson",IF(C119="décimal","number",IF(C119="date","date","string"))))))</f>
        <v/>
      </c>
      <c r="M119" s="21" t="str">
        <f aca="false">IF(LEFT(B119,9)="coord_gps","geopoint",IF(AND(C119="geojson",B119="geom_surf"),"polygon",IF(AND(C119="geojson",B119="geom_pct"),"point",IF(AND(C119="geojson",B119="geom_lin"),"linestring",IF(C119="url","url_pattern",IF(C119="date","%Y-%M-%D",""))))))</f>
        <v/>
      </c>
      <c r="N119" s="2" t="str">
        <f aca="false">IF(G119="","",IF(G119="obligatoire","oui","non"))</f>
        <v/>
      </c>
      <c r="O119" s="20" t="str">
        <f aca="false">IF(H119="","","oui")</f>
        <v/>
      </c>
      <c r="P119" s="20" t="str">
        <f aca="false">IF(H119="","",H119)</f>
        <v/>
      </c>
      <c r="Q119" s="21" t="str">
        <f aca="false">IF(D119="","","oui")</f>
        <v/>
      </c>
      <c r="S119" s="26"/>
      <c r="T119" s="26"/>
    </row>
    <row r="120" customFormat="false" ht="12.75" hidden="false" customHeight="true" outlineLevel="0" collapsed="false">
      <c r="A120" s="10" t="s">
        <v>372</v>
      </c>
      <c r="B120" s="12"/>
      <c r="C120" s="11"/>
      <c r="D120" s="11"/>
      <c r="E120" s="10"/>
      <c r="F120" s="11"/>
      <c r="G120" s="12"/>
      <c r="H120" s="13"/>
      <c r="I120" s="13"/>
      <c r="J120" s="13"/>
      <c r="K120" s="14"/>
      <c r="L120" s="14"/>
      <c r="M120" s="14"/>
      <c r="N120" s="48"/>
      <c r="O120" s="48"/>
      <c r="P120" s="48"/>
      <c r="Q120" s="48"/>
      <c r="R120" s="16"/>
      <c r="S120" s="12"/>
      <c r="T120" s="16" t="s">
        <v>21</v>
      </c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</row>
    <row r="121" customFormat="false" ht="12.75" hidden="false" customHeight="true" outlineLevel="0" collapsed="false">
      <c r="A121" s="1" t="s">
        <v>372</v>
      </c>
      <c r="B121" s="17" t="s">
        <v>373</v>
      </c>
      <c r="C121" s="18" t="s">
        <v>23</v>
      </c>
      <c r="D121" s="18"/>
      <c r="E121" s="18" t="s">
        <v>374</v>
      </c>
      <c r="F121" s="18" t="s">
        <v>374</v>
      </c>
      <c r="G121" s="1" t="s">
        <v>26</v>
      </c>
      <c r="H121" s="19"/>
      <c r="I121" s="19"/>
      <c r="J121" s="1" t="s">
        <v>375</v>
      </c>
      <c r="K121" s="20" t="str">
        <f aca="false">B121</f>
        <v>id_service</v>
      </c>
      <c r="L121" s="21" t="str">
        <f aca="false">IF(C121="","",IF(C121="entier","integer",IF(C121="booléen","boolean",IF(C121="geojson","geojson",IF(C121="décimal","number",IF(C121="date","date","string"))))))</f>
        <v>string</v>
      </c>
      <c r="M121" s="21" t="str">
        <f aca="false">IF(LEFT(B121,9)="coord_gps","geopoint",IF(AND(C121="geojson",B121="geom_surf"),"polygon",IF(AND(C121="geojson",B121="geom_pct"),"point",IF(AND(C121="geojson",B121="geom_lin"),"linestring",IF(C121="url","url_pattern",IF(C121="date","%Y-%M-%D",""))))))</f>
        <v/>
      </c>
      <c r="N121" s="2" t="str">
        <f aca="false">IF(G121="","",IF(G121="obligatoire","oui","non"))</f>
        <v>oui</v>
      </c>
      <c r="O121" s="20" t="str">
        <f aca="false">IF(H121="","","oui")</f>
        <v/>
      </c>
      <c r="P121" s="20" t="str">
        <f aca="false">IF(H121="","",H121)</f>
        <v/>
      </c>
      <c r="Q121" s="21" t="str">
        <f aca="false">IF(D121="","","oui")</f>
        <v/>
      </c>
      <c r="R121" s="17" t="s">
        <v>28</v>
      </c>
      <c r="S121" s="17"/>
      <c r="T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customFormat="false" ht="12.75" hidden="false" customHeight="true" outlineLevel="0" collapsed="false">
      <c r="A122" s="37" t="s">
        <v>372</v>
      </c>
      <c r="B122" s="55" t="s">
        <v>376</v>
      </c>
      <c r="C122" s="56" t="s">
        <v>56</v>
      </c>
      <c r="D122" s="56" t="s">
        <v>46</v>
      </c>
      <c r="E122" s="56" t="s">
        <v>377</v>
      </c>
      <c r="F122" s="56" t="s">
        <v>378</v>
      </c>
      <c r="G122" s="37" t="s">
        <v>26</v>
      </c>
      <c r="H122" s="55" t="s">
        <v>376</v>
      </c>
      <c r="I122" s="19"/>
      <c r="J122" s="1" t="s">
        <v>379</v>
      </c>
      <c r="K122" s="20" t="str">
        <f aca="false">B122</f>
        <v>type_service</v>
      </c>
      <c r="L122" s="21" t="str">
        <f aca="false">IF(C122="","",IF(C122="entier","integer",IF(C122="booléen","boolean",IF(C122="geojson","geojson",IF(C122="décimal","number",IF(C122="date","date","string"))))))</f>
        <v>string</v>
      </c>
      <c r="M122" s="21" t="str">
        <f aca="false">IF(LEFT(B122,9)="coord_gps","geopoint",IF(AND(C122="geojson",B122="geom_surf"),"polygon",IF(AND(C122="geojson",B122="geom_pct"),"point",IF(AND(C122="geojson",B122="geom_lin"),"linestring",IF(C122="url","url_pattern",IF(C122="date","%Y-%M-%D",""))))))</f>
        <v/>
      </c>
      <c r="N122" s="2" t="str">
        <f aca="false">IF(G122="","",IF(G122="obligatoire","oui","non"))</f>
        <v>oui</v>
      </c>
      <c r="O122" s="20" t="str">
        <f aca="false">IF(H122="","","oui")</f>
        <v>oui</v>
      </c>
      <c r="P122" s="20" t="str">
        <f aca="false">IF(H122="","",H122)</f>
        <v>type_service</v>
      </c>
      <c r="Q122" s="21" t="str">
        <f aca="false">IF(D122="","","oui")</f>
        <v>oui</v>
      </c>
      <c r="R122" s="17"/>
      <c r="S122" s="17"/>
      <c r="T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customFormat="false" ht="12.75" hidden="false" customHeight="true" outlineLevel="0" collapsed="false">
      <c r="A123" s="37" t="s">
        <v>372</v>
      </c>
      <c r="B123" s="57" t="s">
        <v>380</v>
      </c>
      <c r="C123" s="24" t="s">
        <v>56</v>
      </c>
      <c r="D123" s="24" t="s">
        <v>46</v>
      </c>
      <c r="E123" s="58" t="s">
        <v>381</v>
      </c>
      <c r="F123" s="58" t="s">
        <v>381</v>
      </c>
      <c r="G123" s="37" t="s">
        <v>26</v>
      </c>
      <c r="H123" s="57" t="s">
        <v>380</v>
      </c>
      <c r="J123" s="1" t="s">
        <v>173</v>
      </c>
      <c r="K123" s="20" t="str">
        <f aca="false">B123</f>
        <v>type_local</v>
      </c>
      <c r="L123" s="21" t="str">
        <f aca="false">IF(C123="","",IF(C123="entier","integer",IF(C123="booléen","boolean",IF(C123="geojson","geojson",IF(C123="décimal","number",IF(C123="date","date","string"))))))</f>
        <v>string</v>
      </c>
      <c r="M123" s="21" t="str">
        <f aca="false">IF(LEFT(B123,9)="coord_gps","geopoint",IF(AND(C123="geojson",B123="geom_surf"),"polygon",IF(AND(C123="geojson",B123="geom_pct"),"point",IF(AND(C123="geojson",B123="geom_lin"),"linestring",IF(C123="url","url_pattern",IF(C123="date","%Y-%M-%D",""))))))</f>
        <v/>
      </c>
      <c r="N123" s="2" t="str">
        <f aca="false">IF(G123="","",IF(G123="obligatoire","oui","non"))</f>
        <v>oui</v>
      </c>
      <c r="O123" s="20" t="str">
        <f aca="false">IF(H123="","","oui")</f>
        <v>oui</v>
      </c>
      <c r="P123" s="20" t="str">
        <f aca="false">IF(H123="","",H123)</f>
        <v>type_local</v>
      </c>
      <c r="Q123" s="21" t="str">
        <f aca="false">IF(D123="","","oui")</f>
        <v>oui</v>
      </c>
    </row>
    <row r="124" customFormat="false" ht="12.75" hidden="false" customHeight="true" outlineLevel="0" collapsed="false">
      <c r="A124" s="37" t="s">
        <v>372</v>
      </c>
      <c r="B124" s="24" t="s">
        <v>382</v>
      </c>
      <c r="C124" s="24" t="s">
        <v>56</v>
      </c>
      <c r="D124" s="24" t="s">
        <v>46</v>
      </c>
      <c r="E124" s="58" t="s">
        <v>383</v>
      </c>
      <c r="F124" s="58" t="s">
        <v>384</v>
      </c>
      <c r="G124" s="37" t="s">
        <v>33</v>
      </c>
      <c r="H124" s="24" t="s">
        <v>382</v>
      </c>
      <c r="J124" s="1" t="s">
        <v>385</v>
      </c>
      <c r="K124" s="20" t="s">
        <v>382</v>
      </c>
      <c r="L124" s="21" t="str">
        <f aca="false">IF(C124="","",IF(C124="entier","integer",IF(C124="booléen","boolean",IF(C124="geojson","geojson",IF(C124="décimal","number",IF(C124="date","date","string"))))))</f>
        <v>string</v>
      </c>
      <c r="M124" s="21"/>
      <c r="N124" s="2" t="str">
        <f aca="false">IF(G124="","",IF(G124="obligatoire","oui","non"))</f>
        <v>non</v>
      </c>
      <c r="O124" s="20" t="s">
        <v>46</v>
      </c>
      <c r="P124" s="20" t="s">
        <v>382</v>
      </c>
      <c r="Q124" s="21" t="s">
        <v>46</v>
      </c>
    </row>
    <row r="125" customFormat="false" ht="12.75" hidden="false" customHeight="true" outlineLevel="0" collapsed="false">
      <c r="A125" s="37" t="s">
        <v>372</v>
      </c>
      <c r="B125" s="57" t="s">
        <v>386</v>
      </c>
      <c r="C125" s="24" t="s">
        <v>78</v>
      </c>
      <c r="D125" s="24"/>
      <c r="E125" s="58" t="s">
        <v>387</v>
      </c>
      <c r="F125" s="58" t="s">
        <v>387</v>
      </c>
      <c r="G125" s="37" t="s">
        <v>33</v>
      </c>
      <c r="H125" s="57"/>
      <c r="J125" s="1" t="s">
        <v>388</v>
      </c>
      <c r="K125" s="20" t="str">
        <f aca="false">B125</f>
        <v>url_local_acceslibre</v>
      </c>
      <c r="L125" s="21" t="str">
        <f aca="false">IF(C125="","",IF(C125="entier","integer",IF(C125="booléen","boolean",IF(C125="geojson","geojson",IF(C125="décimal","number",IF(C125="date","date","string"))))))</f>
        <v>string</v>
      </c>
      <c r="M125" s="21" t="str">
        <f aca="false">IF(LEFT(B125,9)="coord_gps","geopoint",IF(AND(C125="geojson",B125="geom_surf"),"polygon",IF(AND(C125="geojson",B125="geom_pct"),"point",IF(AND(C125="geojson",B125="geom_lin"),"linestring",IF(C125="url","url_pattern",IF(C125="date","%Y-%M-%D",""))))))</f>
        <v>url_pattern</v>
      </c>
      <c r="N125" s="2" t="str">
        <f aca="false">IF(G125="","",IF(G125="obligatoire","oui","non"))</f>
        <v>non</v>
      </c>
      <c r="O125" s="20" t="str">
        <f aca="false">IF(H125="","","oui")</f>
        <v/>
      </c>
      <c r="P125" s="20" t="str">
        <f aca="false">IF(H125="","",H125)</f>
        <v/>
      </c>
      <c r="Q125" s="21" t="str">
        <f aca="false">IF(D125="","","oui")</f>
        <v/>
      </c>
    </row>
    <row r="126" customFormat="false" ht="12.75" hidden="false" customHeight="true" outlineLevel="0" collapsed="false">
      <c r="A126" s="37" t="s">
        <v>372</v>
      </c>
      <c r="B126" s="37" t="s">
        <v>389</v>
      </c>
      <c r="C126" s="24" t="s">
        <v>56</v>
      </c>
      <c r="D126" s="24" t="s">
        <v>46</v>
      </c>
      <c r="E126" s="58" t="s">
        <v>390</v>
      </c>
      <c r="F126" s="58" t="s">
        <v>390</v>
      </c>
      <c r="G126" s="37" t="s">
        <v>26</v>
      </c>
      <c r="H126" s="37" t="s">
        <v>389</v>
      </c>
      <c r="J126" s="1" t="s">
        <v>391</v>
      </c>
      <c r="K126" s="20" t="str">
        <f aca="false">B126</f>
        <v>aide_psh</v>
      </c>
      <c r="L126" s="21" t="str">
        <f aca="false">IF(C126="","",IF(C126="entier","integer",IF(C126="booléen","boolean",IF(C126="geojson","geojson",IF(C126="décimal","number",IF(C126="date","date","string"))))))</f>
        <v>string</v>
      </c>
      <c r="M126" s="21" t="str">
        <f aca="false">IF(LEFT(B126,9)="coord_gps","geopoint",IF(AND(C126="geojson",B126="geom_surf"),"polygon",IF(AND(C126="geojson",B126="geom_pct"),"point",IF(AND(C126="geojson",B126="geom_lin"),"linestring",IF(C126="url","url_pattern",IF(C126="date","%Y-%M-%D",""))))))</f>
        <v/>
      </c>
      <c r="N126" s="2" t="str">
        <f aca="false">IF(G126="","",IF(G126="obligatoire","oui","non"))</f>
        <v>oui</v>
      </c>
      <c r="O126" s="20" t="str">
        <f aca="false">IF(H126="","","oui")</f>
        <v>oui</v>
      </c>
      <c r="P126" s="20" t="str">
        <f aca="false">IF(H126="","",H126)</f>
        <v>aide_psh</v>
      </c>
      <c r="Q126" s="21" t="str">
        <f aca="false">IF(D126="","","oui")</f>
        <v>oui</v>
      </c>
    </row>
    <row r="127" customFormat="false" ht="12.75" hidden="false" customHeight="true" outlineLevel="0" collapsed="false">
      <c r="A127" s="37" t="s">
        <v>372</v>
      </c>
      <c r="B127" s="37" t="s">
        <v>392</v>
      </c>
      <c r="C127" s="24" t="s">
        <v>52</v>
      </c>
      <c r="D127" s="24"/>
      <c r="E127" s="58" t="s">
        <v>393</v>
      </c>
      <c r="F127" s="58" t="s">
        <v>393</v>
      </c>
      <c r="G127" s="37" t="s">
        <v>33</v>
      </c>
      <c r="H127" s="37"/>
      <c r="J127" s="1" t="s">
        <v>394</v>
      </c>
      <c r="K127" s="20" t="str">
        <f aca="false">B127</f>
        <v>commentaire</v>
      </c>
      <c r="L127" s="21" t="str">
        <f aca="false">IF(C127="","",IF(C127="entier","integer",IF(C127="booléen","boolean",IF(C127="geojson","geojson",IF(C127="décimal","number",IF(C127="date","date","string"))))))</f>
        <v>string</v>
      </c>
      <c r="M127" s="21" t="str">
        <f aca="false">IF(LEFT(B127,9)="coord_gps","geopoint",IF(AND(C127="geojson",B127="geom_surf"),"polygon",IF(AND(C127="geojson",B127="geom_pct"),"point",IF(AND(C127="geojson",B127="geom_lin"),"linestring",IF(C127="url","url_pattern",IF(C127="date","%Y-%M-%D",""))))))</f>
        <v/>
      </c>
      <c r="N127" s="2" t="str">
        <f aca="false">IF(G127="","",IF(G127="obligatoire","oui","non"))</f>
        <v>non</v>
      </c>
      <c r="O127" s="20" t="str">
        <f aca="false">IF(H127="","","oui")</f>
        <v/>
      </c>
      <c r="P127" s="20" t="str">
        <f aca="false">IF(H127="","",H127)</f>
        <v/>
      </c>
      <c r="Q127" s="21" t="str">
        <f aca="false">IF(D127="","","oui")</f>
        <v/>
      </c>
    </row>
    <row r="128" customFormat="false" ht="12.75" hidden="false" customHeight="true" outlineLevel="0" collapsed="false">
      <c r="A128" s="37" t="s">
        <v>372</v>
      </c>
      <c r="B128" s="37" t="s">
        <v>120</v>
      </c>
      <c r="C128" s="23" t="s">
        <v>272</v>
      </c>
      <c r="D128" s="23" t="s">
        <v>46</v>
      </c>
      <c r="E128" s="37" t="s">
        <v>395</v>
      </c>
      <c r="F128" s="37" t="s">
        <v>396</v>
      </c>
      <c r="G128" s="1" t="s">
        <v>33</v>
      </c>
      <c r="J128" s="17" t="s">
        <v>275</v>
      </c>
      <c r="K128" s="20" t="str">
        <f aca="false">B128</f>
        <v>url_media</v>
      </c>
      <c r="L128" s="21" t="str">
        <f aca="false">IF(C128="","",IF(C128="entier","integer",IF(C128="booléen","boolean",IF(C128="geojson","geojson",IF(C128="décimal","number",IF(C128="date","date","string"))))))</f>
        <v>string</v>
      </c>
      <c r="M128" s="21" t="str">
        <f aca="false">IF(LEFT(B128,9)="coord_gps","geopoint",IF(AND(C128="geojson",B128="geom_surf"),"polygon",IF(AND(C128="geojson",B128="geom_pct"),"point",IF(AND(C128="geojson",B128="geom_lin"),"linestring",IF(C128="url","url_pattern",IF(C128="date","%Y-%M-%D",""))))))</f>
        <v/>
      </c>
      <c r="N128" s="2" t="str">
        <f aca="false">IF(G128="","",IF(G128="obligatoire","oui","non"))</f>
        <v>non</v>
      </c>
      <c r="O128" s="20" t="str">
        <f aca="false">IF(H128="","","oui")</f>
        <v/>
      </c>
      <c r="P128" s="20" t="str">
        <f aca="false">IF(H128="","",H128)</f>
        <v/>
      </c>
      <c r="Q128" s="21" t="str">
        <f aca="false">IF(D128="","","oui")</f>
        <v>oui</v>
      </c>
      <c r="S128" s="26"/>
      <c r="AO128" s="3"/>
      <c r="AP128" s="3"/>
      <c r="AQ128" s="3"/>
      <c r="AR128" s="3"/>
      <c r="AS128" s="3"/>
      <c r="AT128" s="3"/>
      <c r="AU128" s="3"/>
      <c r="AV128" s="3"/>
    </row>
    <row r="129" customFormat="false" ht="12.75" hidden="false" customHeight="true" outlineLevel="0" collapsed="false">
      <c r="A129" s="1" t="s">
        <v>372</v>
      </c>
      <c r="B129" s="1" t="s">
        <v>285</v>
      </c>
      <c r="C129" s="23" t="s">
        <v>73</v>
      </c>
      <c r="D129" s="23"/>
      <c r="E129" s="1" t="s">
        <v>397</v>
      </c>
      <c r="F129" s="30" t="s">
        <v>398</v>
      </c>
      <c r="G129" s="1" t="s">
        <v>26</v>
      </c>
      <c r="H129" s="17"/>
      <c r="J129" s="1" t="s">
        <v>288</v>
      </c>
      <c r="K129" s="20" t="str">
        <f aca="false">B129</f>
        <v>geom_pct</v>
      </c>
      <c r="L129" s="21" t="str">
        <f aca="false">IF(C129="","",IF(C129="entier","integer",IF(C129="booléen","boolean",IF(C129="geojson","geojson",IF(C129="décimal","number",IF(C129="date","date","string"))))))</f>
        <v>geojson</v>
      </c>
      <c r="M129" s="21" t="str">
        <f aca="false">IF(LEFT(B129,9)="coord_gps","geopoint",IF(AND(C129="geojson",B129="geom_surf"),"polygon",IF(AND(C129="geojson",B129="geom_pct"),"point",IF(AND(C129="geojson",B129="geom_lin"),"linestring",IF(C129="url","url_pattern",IF(C129="date","%Y-%M-%D",""))))))</f>
        <v>point</v>
      </c>
      <c r="N129" s="2" t="str">
        <f aca="false">IF(G129="","",IF(G129="obligatoire","oui","non"))</f>
        <v>oui</v>
      </c>
      <c r="O129" s="20" t="str">
        <f aca="false">IF(H129="","","oui")</f>
        <v/>
      </c>
      <c r="P129" s="20" t="str">
        <f aca="false">IF(H129="","",H129)</f>
        <v/>
      </c>
      <c r="Q129" s="21" t="str">
        <f aca="false">IF(D129="","","oui")</f>
        <v/>
      </c>
    </row>
    <row r="130" customFormat="false" ht="12.75" hidden="false" customHeight="true" outlineLevel="0" collapsed="false">
      <c r="C130" s="23"/>
      <c r="D130" s="23"/>
      <c r="H130" s="25"/>
      <c r="I130" s="25"/>
      <c r="K130" s="20"/>
      <c r="L130" s="21" t="str">
        <f aca="false">IF(C130="","",IF(C130="entier","integer",IF(C130="booléen","boolean",IF(C130="geojson","geojson",IF(C130="décimal","number",IF(C130="date","date","string"))))))</f>
        <v/>
      </c>
      <c r="M130" s="21" t="str">
        <f aca="false">IF(LEFT(B130,9)="coord_gps","geopoint",IF(AND(C130="geojson",B130="geom_surf"),"polygon",IF(AND(C130="geojson",B130="geom_pct"),"point",IF(AND(C130="geojson",B130="geom_lin"),"linestring",IF(C130="url","url_pattern",IF(C130="date","%Y-%M-%D",""))))))</f>
        <v/>
      </c>
      <c r="N130" s="2" t="str">
        <f aca="false">IF(G130="","",IF(G130="obligatoire","oui","non"))</f>
        <v/>
      </c>
      <c r="O130" s="20" t="str">
        <f aca="false">IF(H130="","","oui")</f>
        <v/>
      </c>
      <c r="P130" s="20" t="str">
        <f aca="false">IF(H130="","",H130)</f>
        <v/>
      </c>
      <c r="Q130" s="21" t="str">
        <f aca="false">IF(D130="","","oui")</f>
        <v/>
      </c>
      <c r="S130" s="26"/>
      <c r="T130" s="26"/>
    </row>
    <row r="131" customFormat="false" ht="12.75" hidden="false" customHeight="true" outlineLevel="0" collapsed="false">
      <c r="A131" s="10" t="s">
        <v>399</v>
      </c>
      <c r="B131" s="12"/>
      <c r="C131" s="11"/>
      <c r="D131" s="11"/>
      <c r="E131" s="10"/>
      <c r="F131" s="11"/>
      <c r="G131" s="12"/>
      <c r="H131" s="13"/>
      <c r="I131" s="13"/>
      <c r="J131" s="13"/>
      <c r="K131" s="14"/>
      <c r="L131" s="14"/>
      <c r="M131" s="14"/>
      <c r="N131" s="48"/>
      <c r="O131" s="48"/>
      <c r="P131" s="48"/>
      <c r="Q131" s="48"/>
      <c r="R131" s="16"/>
      <c r="S131" s="12"/>
      <c r="T131" s="16" t="s">
        <v>21</v>
      </c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</row>
    <row r="132" customFormat="false" ht="12.75" hidden="false" customHeight="true" outlineLevel="0" collapsed="false">
      <c r="A132" s="1" t="s">
        <v>399</v>
      </c>
      <c r="B132" s="17" t="s">
        <v>400</v>
      </c>
      <c r="C132" s="18" t="s">
        <v>23</v>
      </c>
      <c r="D132" s="18"/>
      <c r="E132" s="18" t="s">
        <v>401</v>
      </c>
      <c r="F132" s="18" t="s">
        <v>402</v>
      </c>
      <c r="G132" s="1" t="s">
        <v>26</v>
      </c>
      <c r="H132" s="19"/>
      <c r="I132" s="19"/>
      <c r="J132" s="19" t="s">
        <v>403</v>
      </c>
      <c r="K132" s="20" t="str">
        <f aca="false">B132</f>
        <v>id_signaletique</v>
      </c>
      <c r="L132" s="21" t="str">
        <f aca="false">IF(C132="","",IF(C132="entier","integer",IF(C132="booléen","boolean",IF(C132="geojson","geojson",IF(C132="décimal","number",IF(C132="date","date","string"))))))</f>
        <v>string</v>
      </c>
      <c r="M132" s="21" t="str">
        <f aca="false">IF(LEFT(B132,9)="coord_gps","geopoint",IF(AND(C132="geojson",B132="geom_surf"),"polygon",IF(AND(C132="geojson",B132="geom_pct"),"point",IF(AND(C132="geojson",B132="geom_lin"),"linestring",IF(C132="url","url_pattern",IF(C132="date","%Y-%M-%D",""))))))</f>
        <v/>
      </c>
      <c r="N132" s="2" t="str">
        <f aca="false">IF(G132="","",IF(G132="obligatoire","oui","non"))</f>
        <v>oui</v>
      </c>
      <c r="O132" s="20" t="str">
        <f aca="false">IF(H132="","","oui")</f>
        <v/>
      </c>
      <c r="P132" s="20" t="str">
        <f aca="false">IF(H132="","",H132)</f>
        <v/>
      </c>
      <c r="Q132" s="21" t="str">
        <f aca="false">IF(D132="","","oui")</f>
        <v/>
      </c>
      <c r="R132" s="22" t="s">
        <v>28</v>
      </c>
      <c r="S132" s="17"/>
      <c r="T132" s="22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customFormat="false" ht="12.75" hidden="false" customHeight="true" outlineLevel="0" collapsed="false">
      <c r="A133" s="37" t="s">
        <v>399</v>
      </c>
      <c r="B133" s="55" t="s">
        <v>404</v>
      </c>
      <c r="C133" s="24" t="s">
        <v>56</v>
      </c>
      <c r="D133" s="56"/>
      <c r="E133" s="56" t="s">
        <v>405</v>
      </c>
      <c r="F133" s="56" t="s">
        <v>405</v>
      </c>
      <c r="G133" s="37" t="s">
        <v>26</v>
      </c>
      <c r="H133" s="55" t="s">
        <v>404</v>
      </c>
      <c r="I133" s="19"/>
      <c r="J133" s="19" t="s">
        <v>406</v>
      </c>
      <c r="K133" s="20" t="str">
        <f aca="false">B133</f>
        <v>type_support</v>
      </c>
      <c r="L133" s="21" t="str">
        <f aca="false">IF(C133="","",IF(C133="entier","integer",IF(C133="booléen","boolean",IF(C133="geojson","geojson",IF(C133="décimal","number",IF(C133="date","date","string"))))))</f>
        <v>string</v>
      </c>
      <c r="M133" s="21" t="str">
        <f aca="false">IF(LEFT(B133,9)="coord_gps","geopoint",IF(AND(C133="geojson",B133="geom_surf"),"polygon",IF(AND(C133="geojson",B133="geom_pct"),"point",IF(AND(C133="geojson",B133="geom_lin"),"linestring",IF(C133="url","url_pattern",IF(C133="date","%Y-%M-%D",""))))))</f>
        <v/>
      </c>
      <c r="N133" s="2" t="str">
        <f aca="false">IF(G133="","",IF(G133="obligatoire","oui","non"))</f>
        <v>oui</v>
      </c>
      <c r="O133" s="20" t="str">
        <f aca="false">IF(H133="","","oui")</f>
        <v>oui</v>
      </c>
      <c r="P133" s="20" t="str">
        <f aca="false">IF(H133="","",H133)</f>
        <v>type_support</v>
      </c>
      <c r="Q133" s="21" t="str">
        <f aca="false">IF(D133="","","oui")</f>
        <v/>
      </c>
      <c r="R133" s="22"/>
      <c r="S133" s="17"/>
      <c r="T133" s="22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customFormat="false" ht="12.75" hidden="false" customHeight="true" outlineLevel="0" collapsed="false">
      <c r="A134" s="1" t="s">
        <v>399</v>
      </c>
      <c r="B134" s="1" t="s">
        <v>407</v>
      </c>
      <c r="C134" s="23" t="s">
        <v>56</v>
      </c>
      <c r="D134" s="23" t="s">
        <v>46</v>
      </c>
      <c r="E134" s="1" t="s">
        <v>408</v>
      </c>
      <c r="F134" s="1" t="s">
        <v>408</v>
      </c>
      <c r="G134" s="1" t="s">
        <v>26</v>
      </c>
      <c r="H134" s="1" t="s">
        <v>407</v>
      </c>
      <c r="I134" s="25"/>
      <c r="J134" s="25" t="s">
        <v>409</v>
      </c>
      <c r="K134" s="20" t="str">
        <f aca="false">B134</f>
        <v>type_signaletique</v>
      </c>
      <c r="L134" s="21" t="str">
        <f aca="false">IF(C134="","",IF(C134="entier","integer",IF(C134="booléen","boolean",IF(C134="geojson","geojson",IF(C134="décimal","number",IF(C134="date","date","string"))))))</f>
        <v>string</v>
      </c>
      <c r="M134" s="21" t="str">
        <f aca="false">IF(LEFT(B134,9)="coord_gps","geopoint",IF(AND(C134="geojson",B134="geom_surf"),"polygon",IF(AND(C134="geojson",B134="geom_pct"),"point",IF(AND(C134="geojson",B134="geom_lin"),"linestring",IF(C134="url","url_pattern",IF(C134="date","%Y-%M-%D",""))))))</f>
        <v/>
      </c>
      <c r="N134" s="2" t="str">
        <f aca="false">IF(G134="","",IF(G134="obligatoire","oui","non"))</f>
        <v>oui</v>
      </c>
      <c r="O134" s="20" t="str">
        <f aca="false">IF(H134="","","oui")</f>
        <v>oui</v>
      </c>
      <c r="P134" s="20" t="str">
        <f aca="false">IF(H134="","",H134)</f>
        <v>type_signaletique</v>
      </c>
      <c r="Q134" s="21" t="str">
        <f aca="false">IF(D134="","","oui")</f>
        <v>oui</v>
      </c>
      <c r="S134" s="26"/>
      <c r="T134" s="26"/>
    </row>
    <row r="135" customFormat="false" ht="12.75" hidden="false" customHeight="true" outlineLevel="0" collapsed="false">
      <c r="A135" s="37" t="s">
        <v>399</v>
      </c>
      <c r="B135" s="37" t="s">
        <v>410</v>
      </c>
      <c r="C135" s="24" t="s">
        <v>56</v>
      </c>
      <c r="D135" s="24" t="s">
        <v>46</v>
      </c>
      <c r="E135" s="37" t="s">
        <v>411</v>
      </c>
      <c r="F135" s="37" t="s">
        <v>412</v>
      </c>
      <c r="G135" s="37" t="s">
        <v>26</v>
      </c>
      <c r="H135" s="37" t="s">
        <v>410</v>
      </c>
      <c r="I135" s="25"/>
      <c r="J135" s="25" t="s">
        <v>174</v>
      </c>
      <c r="K135" s="20" t="str">
        <f aca="false">B135</f>
        <v>mode_perception</v>
      </c>
      <c r="L135" s="21" t="str">
        <f aca="false">IF(C135="","",IF(C135="entier","integer",IF(C135="booléen","boolean",IF(C135="geojson","geojson",IF(C135="décimal","number",IF(C135="date","date","string"))))))</f>
        <v>string</v>
      </c>
      <c r="M135" s="21" t="str">
        <f aca="false">IF(LEFT(B135,9)="coord_gps","geopoint",IF(AND(C135="geojson",B135="geom_surf"),"polygon",IF(AND(C135="geojson",B135="geom_pct"),"point",IF(AND(C135="geojson",B135="geom_lin"),"linestring",IF(C135="url","url_pattern",IF(C135="date","%Y-%M-%D",""))))))</f>
        <v/>
      </c>
      <c r="N135" s="2" t="str">
        <f aca="false">IF(G135="","",IF(G135="obligatoire","oui","non"))</f>
        <v>oui</v>
      </c>
      <c r="O135" s="20" t="str">
        <f aca="false">IF(H135="","","oui")</f>
        <v>oui</v>
      </c>
      <c r="P135" s="20" t="str">
        <f aca="false">IF(H135="","",H135)</f>
        <v>mode_perception</v>
      </c>
      <c r="Q135" s="21" t="str">
        <f aca="false">IF(D135="","","oui")</f>
        <v>oui</v>
      </c>
      <c r="S135" s="26"/>
      <c r="T135" s="26"/>
    </row>
    <row r="136" customFormat="false" ht="12.75" hidden="false" customHeight="true" outlineLevel="0" collapsed="false">
      <c r="A136" s="37" t="s">
        <v>399</v>
      </c>
      <c r="B136" s="37" t="s">
        <v>120</v>
      </c>
      <c r="C136" s="23" t="s">
        <v>272</v>
      </c>
      <c r="D136" s="23" t="s">
        <v>46</v>
      </c>
      <c r="E136" s="37" t="s">
        <v>413</v>
      </c>
      <c r="F136" s="37" t="s">
        <v>414</v>
      </c>
      <c r="G136" s="1" t="s">
        <v>33</v>
      </c>
      <c r="J136" s="17" t="s">
        <v>275</v>
      </c>
      <c r="K136" s="20" t="str">
        <f aca="false">B136</f>
        <v>url_media</v>
      </c>
      <c r="L136" s="21" t="str">
        <f aca="false">IF(C136="","",IF(C136="entier","integer",IF(C136="booléen","boolean",IF(C136="geojson","geojson",IF(C136="décimal","number",IF(C136="date","date","string"))))))</f>
        <v>string</v>
      </c>
      <c r="M136" s="21" t="str">
        <f aca="false">IF(LEFT(B136,9)="coord_gps","geopoint",IF(AND(C136="geojson",B136="geom_surf"),"polygon",IF(AND(C136="geojson",B136="geom_pct"),"point",IF(AND(C136="geojson",B136="geom_lin"),"linestring",IF(C136="url","url_pattern",IF(C136="date","%Y-%M-%D",""))))))</f>
        <v/>
      </c>
      <c r="N136" s="2" t="str">
        <f aca="false">IF(G136="","",IF(G136="obligatoire","oui","non"))</f>
        <v>non</v>
      </c>
      <c r="O136" s="20" t="str">
        <f aca="false">IF(H136="","","oui")</f>
        <v/>
      </c>
      <c r="P136" s="20" t="str">
        <f aca="false">IF(H136="","",H136)</f>
        <v/>
      </c>
      <c r="Q136" s="21" t="str">
        <f aca="false">IF(D136="","","oui")</f>
        <v>oui</v>
      </c>
      <c r="S136" s="26"/>
      <c r="AO136" s="3"/>
      <c r="AP136" s="3"/>
      <c r="AQ136" s="3"/>
      <c r="AR136" s="3"/>
      <c r="AS136" s="3"/>
      <c r="AT136" s="3"/>
      <c r="AU136" s="3"/>
      <c r="AV136" s="3"/>
    </row>
    <row r="137" customFormat="false" ht="12.75" hidden="false" customHeight="true" outlineLevel="0" collapsed="false">
      <c r="A137" s="1" t="s">
        <v>399</v>
      </c>
      <c r="B137" s="1" t="s">
        <v>285</v>
      </c>
      <c r="C137" s="23" t="s">
        <v>73</v>
      </c>
      <c r="D137" s="23"/>
      <c r="E137" s="1" t="s">
        <v>415</v>
      </c>
      <c r="F137" s="30" t="s">
        <v>416</v>
      </c>
      <c r="G137" s="1" t="s">
        <v>26</v>
      </c>
      <c r="H137" s="17"/>
      <c r="I137" s="19"/>
      <c r="J137" s="25" t="s">
        <v>288</v>
      </c>
      <c r="K137" s="20" t="str">
        <f aca="false">B137</f>
        <v>geom_pct</v>
      </c>
      <c r="L137" s="21" t="str">
        <f aca="false">IF(C137="","",IF(C137="entier","integer",IF(C137="booléen","boolean",IF(C137="geojson","geojson",IF(C137="décimal","number",IF(C137="date","date","string"))))))</f>
        <v>geojson</v>
      </c>
      <c r="M137" s="21" t="str">
        <f aca="false">IF(LEFT(B137,9)="coord_gps","geopoint",IF(AND(C137="geojson",B137="geom_surf"),"polygon",IF(AND(C137="geojson",B137="geom_pct"),"point",IF(AND(C137="geojson",B137="geom_lin"),"linestring",IF(C137="url","url_pattern",IF(C137="date","%Y-%M-%D",""))))))</f>
        <v>point</v>
      </c>
      <c r="N137" s="2" t="str">
        <f aca="false">IF(G137="","",IF(G137="obligatoire","oui","non"))</f>
        <v>oui</v>
      </c>
      <c r="O137" s="20" t="str">
        <f aca="false">IF(H137="","","oui")</f>
        <v/>
      </c>
      <c r="P137" s="20" t="str">
        <f aca="false">IF(H137="","",H137)</f>
        <v/>
      </c>
      <c r="Q137" s="21" t="str">
        <f aca="false">IF(D137="","","oui")</f>
        <v/>
      </c>
      <c r="R137" s="22"/>
      <c r="S137" s="17"/>
      <c r="T137" s="22"/>
    </row>
    <row r="138" customFormat="false" ht="12.75" hidden="false" customHeight="true" outlineLevel="0" collapsed="false">
      <c r="C138" s="23"/>
      <c r="D138" s="23"/>
      <c r="I138" s="25"/>
      <c r="K138" s="20"/>
      <c r="L138" s="23"/>
      <c r="M138" s="3"/>
      <c r="N138" s="59"/>
      <c r="O138" s="60"/>
      <c r="P138" s="59"/>
      <c r="Q138" s="59"/>
    </row>
    <row r="139" customFormat="false" ht="12.75" hidden="false" customHeight="true" outlineLevel="0" collapsed="false">
      <c r="C139" s="23"/>
      <c r="D139" s="23"/>
      <c r="I139" s="25"/>
      <c r="K139" s="20"/>
      <c r="L139" s="23"/>
      <c r="M139" s="23"/>
      <c r="N139" s="59"/>
      <c r="O139" s="59"/>
      <c r="P139" s="59"/>
      <c r="Q139" s="23"/>
    </row>
    <row r="140" customFormat="false" ht="12.75" hidden="false" customHeight="true" outlineLevel="0" collapsed="false">
      <c r="C140" s="23"/>
      <c r="D140" s="23"/>
      <c r="I140" s="25"/>
      <c r="K140" s="20"/>
      <c r="L140" s="23"/>
      <c r="M140" s="23"/>
      <c r="N140" s="59"/>
      <c r="O140" s="59"/>
      <c r="P140" s="59"/>
      <c r="Q140" s="23"/>
    </row>
    <row r="141" customFormat="false" ht="12.75" hidden="false" customHeight="true" outlineLevel="0" collapsed="false">
      <c r="C141" s="23"/>
      <c r="D141" s="23"/>
      <c r="I141" s="25"/>
      <c r="K141" s="20"/>
      <c r="L141" s="23"/>
      <c r="M141" s="23"/>
      <c r="N141" s="59"/>
      <c r="O141" s="59"/>
      <c r="P141" s="59"/>
      <c r="Q141" s="23"/>
    </row>
    <row r="142" customFormat="false" ht="12.75" hidden="false" customHeight="true" outlineLevel="0" collapsed="false">
      <c r="C142" s="23"/>
      <c r="D142" s="23"/>
      <c r="I142" s="25"/>
      <c r="K142" s="20"/>
      <c r="L142" s="23"/>
      <c r="M142" s="23"/>
      <c r="N142" s="59"/>
      <c r="O142" s="59"/>
      <c r="P142" s="59"/>
      <c r="Q142" s="23"/>
    </row>
    <row r="143" customFormat="false" ht="12.75" hidden="false" customHeight="true" outlineLevel="0" collapsed="false">
      <c r="C143" s="23"/>
      <c r="D143" s="23"/>
      <c r="I143" s="25"/>
      <c r="K143" s="20"/>
      <c r="L143" s="23"/>
      <c r="M143" s="23"/>
      <c r="N143" s="59"/>
      <c r="O143" s="59"/>
      <c r="P143" s="59"/>
      <c r="Q143" s="23"/>
    </row>
    <row r="144" customFormat="false" ht="12.75" hidden="false" customHeight="true" outlineLevel="0" collapsed="false">
      <c r="C144" s="23"/>
      <c r="D144" s="23"/>
      <c r="I144" s="25"/>
      <c r="K144" s="20"/>
      <c r="L144" s="23"/>
      <c r="M144" s="23"/>
      <c r="N144" s="59"/>
      <c r="O144" s="59"/>
      <c r="P144" s="59"/>
      <c r="Q144" s="23"/>
    </row>
    <row r="145" customFormat="false" ht="12.75" hidden="false" customHeight="true" outlineLevel="0" collapsed="false">
      <c r="C145" s="23"/>
      <c r="D145" s="23"/>
      <c r="I145" s="25"/>
      <c r="K145" s="20"/>
      <c r="L145" s="23"/>
      <c r="M145" s="23"/>
      <c r="N145" s="59"/>
      <c r="O145" s="59"/>
      <c r="P145" s="59"/>
      <c r="Q145" s="23"/>
    </row>
    <row r="146" customFormat="false" ht="12.75" hidden="false" customHeight="true" outlineLevel="0" collapsed="false">
      <c r="C146" s="23"/>
      <c r="D146" s="23"/>
      <c r="I146" s="25"/>
      <c r="K146" s="20"/>
      <c r="L146" s="23"/>
      <c r="M146" s="23"/>
      <c r="N146" s="59"/>
      <c r="O146" s="59"/>
      <c r="P146" s="59"/>
      <c r="Q146" s="23"/>
    </row>
    <row r="147" customFormat="false" ht="12.75" hidden="false" customHeight="true" outlineLevel="0" collapsed="false">
      <c r="C147" s="23"/>
      <c r="D147" s="23"/>
      <c r="I147" s="25"/>
      <c r="K147" s="20"/>
      <c r="L147" s="23"/>
      <c r="M147" s="23"/>
      <c r="N147" s="59"/>
      <c r="O147" s="59"/>
      <c r="P147" s="59"/>
      <c r="Q147" s="23"/>
    </row>
    <row r="148" customFormat="false" ht="12.75" hidden="false" customHeight="true" outlineLevel="0" collapsed="false">
      <c r="C148" s="23"/>
      <c r="D148" s="23"/>
      <c r="I148" s="25"/>
      <c r="K148" s="20"/>
      <c r="L148" s="23"/>
      <c r="M148" s="23"/>
      <c r="N148" s="59"/>
      <c r="O148" s="59"/>
      <c r="P148" s="59"/>
      <c r="Q148" s="23"/>
    </row>
    <row r="149" customFormat="false" ht="12.75" hidden="false" customHeight="true" outlineLevel="0" collapsed="false">
      <c r="C149" s="23"/>
      <c r="D149" s="23"/>
      <c r="I149" s="25"/>
      <c r="K149" s="20"/>
      <c r="L149" s="23"/>
      <c r="M149" s="23"/>
      <c r="N149" s="59"/>
      <c r="O149" s="59"/>
      <c r="P149" s="59"/>
      <c r="Q149" s="23"/>
    </row>
    <row r="150" customFormat="false" ht="12.75" hidden="false" customHeight="true" outlineLevel="0" collapsed="false">
      <c r="C150" s="23"/>
      <c r="D150" s="23"/>
      <c r="I150" s="25"/>
      <c r="K150" s="20"/>
      <c r="L150" s="23"/>
      <c r="M150" s="23"/>
      <c r="N150" s="59"/>
      <c r="O150" s="59"/>
      <c r="P150" s="59"/>
      <c r="Q150" s="23"/>
    </row>
    <row r="151" customFormat="false" ht="12.75" hidden="false" customHeight="true" outlineLevel="0" collapsed="false">
      <c r="C151" s="23"/>
      <c r="D151" s="23"/>
      <c r="I151" s="25"/>
      <c r="K151" s="20"/>
      <c r="L151" s="23"/>
      <c r="M151" s="23"/>
      <c r="N151" s="59"/>
      <c r="O151" s="59"/>
      <c r="P151" s="59"/>
      <c r="Q151" s="23"/>
    </row>
    <row r="152" customFormat="false" ht="12.75" hidden="false" customHeight="true" outlineLevel="0" collapsed="false">
      <c r="C152" s="23"/>
      <c r="D152" s="23"/>
      <c r="I152" s="25"/>
      <c r="K152" s="20"/>
      <c r="L152" s="23"/>
      <c r="M152" s="23"/>
      <c r="N152" s="59"/>
      <c r="O152" s="59"/>
      <c r="P152" s="59"/>
      <c r="Q152" s="23"/>
    </row>
    <row r="153" customFormat="false" ht="12.75" hidden="false" customHeight="true" outlineLevel="0" collapsed="false">
      <c r="C153" s="23"/>
      <c r="D153" s="23"/>
      <c r="I153" s="25"/>
      <c r="K153" s="20"/>
      <c r="L153" s="23"/>
      <c r="M153" s="23"/>
      <c r="N153" s="59"/>
      <c r="O153" s="59"/>
      <c r="P153" s="59"/>
      <c r="Q153" s="23"/>
    </row>
    <row r="154" customFormat="false" ht="12.75" hidden="false" customHeight="true" outlineLevel="0" collapsed="false">
      <c r="C154" s="23"/>
      <c r="D154" s="23"/>
      <c r="I154" s="25"/>
      <c r="K154" s="20"/>
      <c r="L154" s="23"/>
      <c r="M154" s="23"/>
      <c r="N154" s="59"/>
      <c r="O154" s="59"/>
      <c r="P154" s="59"/>
      <c r="Q154" s="23"/>
    </row>
    <row r="155" customFormat="false" ht="12.75" hidden="false" customHeight="true" outlineLevel="0" collapsed="false">
      <c r="C155" s="23"/>
      <c r="D155" s="23"/>
      <c r="I155" s="25"/>
      <c r="K155" s="20"/>
      <c r="L155" s="23"/>
      <c r="M155" s="23"/>
      <c r="N155" s="59"/>
      <c r="O155" s="59"/>
      <c r="P155" s="59"/>
      <c r="Q155" s="23"/>
    </row>
    <row r="156" customFormat="false" ht="12.75" hidden="false" customHeight="true" outlineLevel="0" collapsed="false">
      <c r="C156" s="23"/>
      <c r="D156" s="23"/>
      <c r="I156" s="25"/>
      <c r="K156" s="20"/>
      <c r="L156" s="23"/>
      <c r="M156" s="23"/>
      <c r="N156" s="59"/>
      <c r="O156" s="59"/>
      <c r="P156" s="59"/>
      <c r="Q156" s="23"/>
    </row>
    <row r="157" customFormat="false" ht="12.75" hidden="false" customHeight="true" outlineLevel="0" collapsed="false">
      <c r="C157" s="23"/>
      <c r="D157" s="23"/>
      <c r="I157" s="25"/>
      <c r="K157" s="20"/>
      <c r="L157" s="23"/>
      <c r="M157" s="23"/>
      <c r="N157" s="59"/>
      <c r="O157" s="59"/>
      <c r="P157" s="59"/>
      <c r="Q157" s="23"/>
    </row>
    <row r="158" customFormat="false" ht="12.75" hidden="false" customHeight="true" outlineLevel="0" collapsed="false">
      <c r="C158" s="23"/>
      <c r="D158" s="23"/>
      <c r="I158" s="25"/>
      <c r="K158" s="20"/>
      <c r="L158" s="23"/>
      <c r="M158" s="23"/>
      <c r="N158" s="59"/>
      <c r="O158" s="59"/>
      <c r="P158" s="59"/>
      <c r="Q158" s="23"/>
    </row>
    <row r="159" customFormat="false" ht="12.75" hidden="false" customHeight="true" outlineLevel="0" collapsed="false">
      <c r="C159" s="23"/>
      <c r="D159" s="23"/>
      <c r="I159" s="25"/>
      <c r="K159" s="20"/>
      <c r="L159" s="23"/>
      <c r="M159" s="23"/>
      <c r="N159" s="59"/>
      <c r="O159" s="59"/>
      <c r="P159" s="59"/>
      <c r="Q159" s="23"/>
    </row>
    <row r="160" customFormat="false" ht="12.75" hidden="false" customHeight="true" outlineLevel="0" collapsed="false">
      <c r="C160" s="23"/>
      <c r="D160" s="23"/>
      <c r="I160" s="25"/>
      <c r="K160" s="20"/>
      <c r="L160" s="23"/>
      <c r="M160" s="23"/>
      <c r="N160" s="59"/>
      <c r="O160" s="59"/>
      <c r="P160" s="59"/>
      <c r="Q160" s="23"/>
    </row>
    <row r="161" customFormat="false" ht="12.75" hidden="false" customHeight="true" outlineLevel="0" collapsed="false">
      <c r="C161" s="23"/>
      <c r="D161" s="23"/>
      <c r="I161" s="25"/>
      <c r="L161" s="23"/>
      <c r="M161" s="23"/>
      <c r="N161" s="59"/>
      <c r="O161" s="59"/>
      <c r="P161" s="59"/>
      <c r="Q161" s="23"/>
    </row>
    <row r="162" customFormat="false" ht="12.75" hidden="false" customHeight="true" outlineLevel="0" collapsed="false">
      <c r="C162" s="23"/>
      <c r="D162" s="23"/>
      <c r="I162" s="25"/>
      <c r="L162" s="23"/>
      <c r="M162" s="23"/>
      <c r="N162" s="59"/>
      <c r="O162" s="59"/>
      <c r="P162" s="59"/>
      <c r="Q162" s="23"/>
    </row>
    <row r="163" customFormat="false" ht="12.75" hidden="false" customHeight="true" outlineLevel="0" collapsed="false">
      <c r="C163" s="23"/>
      <c r="D163" s="23"/>
      <c r="I163" s="25"/>
      <c r="L163" s="23"/>
      <c r="M163" s="23"/>
      <c r="N163" s="59"/>
      <c r="O163" s="59"/>
      <c r="P163" s="59"/>
      <c r="Q163" s="23"/>
    </row>
    <row r="164" customFormat="false" ht="12.75" hidden="false" customHeight="true" outlineLevel="0" collapsed="false">
      <c r="C164" s="23"/>
      <c r="D164" s="23"/>
      <c r="I164" s="25"/>
      <c r="L164" s="23"/>
      <c r="M164" s="23"/>
      <c r="N164" s="59"/>
      <c r="O164" s="59"/>
      <c r="P164" s="59"/>
      <c r="Q164" s="23"/>
    </row>
    <row r="165" customFormat="false" ht="12.75" hidden="false" customHeight="true" outlineLevel="0" collapsed="false">
      <c r="C165" s="23"/>
      <c r="D165" s="23"/>
      <c r="I165" s="25"/>
      <c r="L165" s="23"/>
      <c r="M165" s="23"/>
      <c r="N165" s="59"/>
      <c r="O165" s="59"/>
      <c r="P165" s="59"/>
      <c r="Q165" s="23"/>
    </row>
    <row r="166" customFormat="false" ht="12.75" hidden="false" customHeight="true" outlineLevel="0" collapsed="false">
      <c r="C166" s="23"/>
      <c r="D166" s="23"/>
      <c r="I166" s="25"/>
      <c r="L166" s="23"/>
      <c r="M166" s="23"/>
      <c r="N166" s="59"/>
      <c r="O166" s="59"/>
      <c r="P166" s="59"/>
      <c r="Q166" s="23"/>
    </row>
    <row r="167" customFormat="false" ht="12.75" hidden="false" customHeight="true" outlineLevel="0" collapsed="false">
      <c r="C167" s="23"/>
      <c r="D167" s="23"/>
      <c r="I167" s="25"/>
      <c r="L167" s="23"/>
      <c r="M167" s="23"/>
      <c r="N167" s="59"/>
      <c r="O167" s="59"/>
      <c r="P167" s="59"/>
      <c r="Q167" s="23"/>
    </row>
    <row r="168" customFormat="false" ht="12.75" hidden="false" customHeight="true" outlineLevel="0" collapsed="false">
      <c r="C168" s="23"/>
      <c r="D168" s="23"/>
      <c r="I168" s="25"/>
      <c r="L168" s="23"/>
      <c r="M168" s="23"/>
      <c r="N168" s="59"/>
      <c r="O168" s="59"/>
      <c r="P168" s="59"/>
      <c r="Q168" s="23"/>
    </row>
    <row r="169" customFormat="false" ht="12.75" hidden="false" customHeight="true" outlineLevel="0" collapsed="false">
      <c r="C169" s="23"/>
      <c r="D169" s="23"/>
      <c r="I169" s="25"/>
      <c r="L169" s="23"/>
      <c r="M169" s="23"/>
      <c r="N169" s="59"/>
      <c r="O169" s="59"/>
      <c r="P169" s="59"/>
      <c r="Q169" s="23"/>
    </row>
    <row r="170" customFormat="false" ht="12.75" hidden="false" customHeight="true" outlineLevel="0" collapsed="false">
      <c r="C170" s="23"/>
      <c r="D170" s="23"/>
      <c r="I170" s="25"/>
      <c r="L170" s="23"/>
      <c r="M170" s="23"/>
      <c r="N170" s="59"/>
      <c r="O170" s="59"/>
      <c r="P170" s="59"/>
      <c r="Q170" s="23"/>
    </row>
    <row r="171" customFormat="false" ht="12.75" hidden="false" customHeight="true" outlineLevel="0" collapsed="false">
      <c r="C171" s="23"/>
      <c r="D171" s="23"/>
      <c r="I171" s="25"/>
      <c r="L171" s="23"/>
      <c r="M171" s="23"/>
      <c r="N171" s="59"/>
      <c r="O171" s="59"/>
      <c r="P171" s="59"/>
      <c r="Q171" s="23"/>
    </row>
    <row r="172" customFormat="false" ht="12.75" hidden="false" customHeight="true" outlineLevel="0" collapsed="false">
      <c r="C172" s="23"/>
      <c r="D172" s="23"/>
      <c r="I172" s="25"/>
      <c r="L172" s="23"/>
      <c r="M172" s="23"/>
      <c r="N172" s="59"/>
      <c r="O172" s="59"/>
      <c r="P172" s="59"/>
      <c r="Q172" s="23"/>
    </row>
    <row r="173" customFormat="false" ht="12.75" hidden="false" customHeight="true" outlineLevel="0" collapsed="false">
      <c r="C173" s="23"/>
      <c r="D173" s="23"/>
      <c r="I173" s="25"/>
      <c r="L173" s="23"/>
      <c r="M173" s="23"/>
      <c r="N173" s="59"/>
      <c r="O173" s="59"/>
      <c r="P173" s="59"/>
      <c r="Q173" s="23"/>
    </row>
    <row r="174" customFormat="false" ht="12.75" hidden="false" customHeight="true" outlineLevel="0" collapsed="false">
      <c r="C174" s="23"/>
      <c r="D174" s="23"/>
      <c r="I174" s="25"/>
      <c r="L174" s="23"/>
      <c r="M174" s="23"/>
      <c r="N174" s="59"/>
      <c r="O174" s="59"/>
      <c r="P174" s="59"/>
      <c r="Q174" s="23"/>
    </row>
    <row r="175" customFormat="false" ht="12.75" hidden="false" customHeight="true" outlineLevel="0" collapsed="false">
      <c r="C175" s="23"/>
      <c r="D175" s="23"/>
      <c r="I175" s="25"/>
      <c r="L175" s="23"/>
      <c r="M175" s="23"/>
      <c r="N175" s="59"/>
      <c r="O175" s="59"/>
      <c r="P175" s="59"/>
      <c r="Q175" s="23"/>
    </row>
    <row r="176" customFormat="false" ht="12.75" hidden="false" customHeight="true" outlineLevel="0" collapsed="false">
      <c r="C176" s="23"/>
      <c r="D176" s="23"/>
      <c r="I176" s="25"/>
      <c r="L176" s="23"/>
      <c r="M176" s="23"/>
      <c r="N176" s="59"/>
      <c r="O176" s="59"/>
      <c r="P176" s="59"/>
      <c r="Q176" s="23"/>
    </row>
    <row r="177" customFormat="false" ht="12.75" hidden="false" customHeight="true" outlineLevel="0" collapsed="false">
      <c r="C177" s="23"/>
      <c r="D177" s="23"/>
      <c r="I177" s="25"/>
      <c r="L177" s="23"/>
      <c r="M177" s="23"/>
      <c r="N177" s="59"/>
      <c r="O177" s="59"/>
      <c r="P177" s="59"/>
      <c r="Q177" s="23"/>
    </row>
    <row r="178" customFormat="false" ht="12.75" hidden="false" customHeight="true" outlineLevel="0" collapsed="false">
      <c r="C178" s="23"/>
      <c r="D178" s="23"/>
      <c r="I178" s="25"/>
      <c r="L178" s="23"/>
      <c r="M178" s="23"/>
      <c r="N178" s="59"/>
      <c r="O178" s="59"/>
      <c r="P178" s="59"/>
      <c r="Q178" s="23"/>
    </row>
    <row r="179" customFormat="false" ht="12.75" hidden="false" customHeight="true" outlineLevel="0" collapsed="false">
      <c r="C179" s="23"/>
      <c r="D179" s="23"/>
      <c r="I179" s="25"/>
      <c r="L179" s="23"/>
      <c r="M179" s="23"/>
      <c r="N179" s="59"/>
      <c r="O179" s="59"/>
      <c r="P179" s="59"/>
      <c r="Q179" s="23"/>
    </row>
    <row r="180" customFormat="false" ht="12.75" hidden="false" customHeight="true" outlineLevel="0" collapsed="false">
      <c r="C180" s="23"/>
      <c r="D180" s="23"/>
      <c r="I180" s="25"/>
      <c r="L180" s="23"/>
      <c r="M180" s="23"/>
      <c r="N180" s="59"/>
      <c r="O180" s="59"/>
      <c r="P180" s="59"/>
      <c r="Q180" s="23"/>
    </row>
    <row r="181" customFormat="false" ht="12.75" hidden="false" customHeight="true" outlineLevel="0" collapsed="false">
      <c r="C181" s="23"/>
      <c r="D181" s="23"/>
      <c r="I181" s="25"/>
      <c r="L181" s="23"/>
      <c r="M181" s="23"/>
      <c r="N181" s="59"/>
      <c r="O181" s="59"/>
      <c r="P181" s="59"/>
      <c r="Q181" s="23"/>
    </row>
    <row r="182" customFormat="false" ht="12.75" hidden="false" customHeight="true" outlineLevel="0" collapsed="false">
      <c r="C182" s="23"/>
      <c r="D182" s="23"/>
      <c r="I182" s="25"/>
      <c r="L182" s="23"/>
      <c r="M182" s="23"/>
      <c r="N182" s="59"/>
      <c r="O182" s="59"/>
      <c r="P182" s="59"/>
      <c r="Q182" s="23"/>
    </row>
    <row r="183" customFormat="false" ht="12.75" hidden="false" customHeight="true" outlineLevel="0" collapsed="false">
      <c r="C183" s="23"/>
      <c r="D183" s="23"/>
      <c r="I183" s="25"/>
      <c r="L183" s="23"/>
      <c r="M183" s="23"/>
      <c r="N183" s="59"/>
      <c r="O183" s="59"/>
      <c r="P183" s="59"/>
      <c r="Q183" s="23"/>
    </row>
    <row r="184" customFormat="false" ht="12.75" hidden="false" customHeight="true" outlineLevel="0" collapsed="false">
      <c r="C184" s="23"/>
      <c r="D184" s="23"/>
      <c r="I184" s="25"/>
      <c r="L184" s="23"/>
      <c r="M184" s="23"/>
      <c r="N184" s="59"/>
      <c r="O184" s="59"/>
      <c r="P184" s="59"/>
      <c r="Q184" s="23"/>
    </row>
    <row r="185" customFormat="false" ht="12.75" hidden="false" customHeight="true" outlineLevel="0" collapsed="false">
      <c r="C185" s="23"/>
      <c r="D185" s="23"/>
      <c r="I185" s="25"/>
      <c r="L185" s="23"/>
      <c r="M185" s="23"/>
      <c r="N185" s="59"/>
      <c r="O185" s="59"/>
      <c r="P185" s="59"/>
      <c r="Q185" s="23"/>
    </row>
    <row r="186" customFormat="false" ht="12.75" hidden="false" customHeight="true" outlineLevel="0" collapsed="false">
      <c r="C186" s="23"/>
      <c r="D186" s="23"/>
      <c r="I186" s="25"/>
      <c r="L186" s="23"/>
      <c r="M186" s="23"/>
      <c r="N186" s="59"/>
      <c r="O186" s="59"/>
      <c r="P186" s="59"/>
      <c r="Q186" s="23"/>
    </row>
    <row r="187" customFormat="false" ht="12.75" hidden="false" customHeight="true" outlineLevel="0" collapsed="false">
      <c r="C187" s="23"/>
      <c r="D187" s="23"/>
      <c r="I187" s="25"/>
      <c r="L187" s="23"/>
      <c r="M187" s="23"/>
      <c r="N187" s="59"/>
      <c r="O187" s="59"/>
      <c r="P187" s="59"/>
      <c r="Q187" s="23"/>
    </row>
    <row r="188" customFormat="false" ht="12.75" hidden="false" customHeight="true" outlineLevel="0" collapsed="false">
      <c r="C188" s="23"/>
      <c r="D188" s="23"/>
      <c r="I188" s="25"/>
      <c r="L188" s="23"/>
      <c r="M188" s="23"/>
      <c r="N188" s="59"/>
      <c r="O188" s="59"/>
      <c r="P188" s="59"/>
      <c r="Q188" s="23"/>
    </row>
    <row r="189" customFormat="false" ht="12.75" hidden="false" customHeight="true" outlineLevel="0" collapsed="false">
      <c r="C189" s="23"/>
      <c r="D189" s="23"/>
      <c r="I189" s="25"/>
      <c r="L189" s="23"/>
      <c r="M189" s="23"/>
      <c r="N189" s="59"/>
      <c r="O189" s="59"/>
      <c r="P189" s="59"/>
      <c r="Q189" s="23"/>
    </row>
    <row r="190" customFormat="false" ht="12.75" hidden="false" customHeight="true" outlineLevel="0" collapsed="false">
      <c r="C190" s="23"/>
      <c r="D190" s="23"/>
      <c r="I190" s="25"/>
      <c r="L190" s="23"/>
      <c r="M190" s="23"/>
      <c r="N190" s="59"/>
      <c r="O190" s="59"/>
      <c r="P190" s="59"/>
      <c r="Q190" s="23"/>
    </row>
    <row r="191" customFormat="false" ht="12.75" hidden="false" customHeight="true" outlineLevel="0" collapsed="false">
      <c r="C191" s="23"/>
      <c r="D191" s="23"/>
      <c r="I191" s="25"/>
      <c r="L191" s="23"/>
      <c r="M191" s="23"/>
      <c r="N191" s="59"/>
      <c r="O191" s="59"/>
      <c r="P191" s="59"/>
      <c r="Q191" s="23"/>
    </row>
    <row r="192" customFormat="false" ht="12.75" hidden="false" customHeight="true" outlineLevel="0" collapsed="false">
      <c r="C192" s="23"/>
      <c r="D192" s="23"/>
      <c r="I192" s="25"/>
      <c r="L192" s="23"/>
      <c r="M192" s="23"/>
      <c r="N192" s="59"/>
      <c r="O192" s="59"/>
      <c r="P192" s="59"/>
      <c r="Q192" s="23"/>
    </row>
    <row r="193" customFormat="false" ht="12.75" hidden="false" customHeight="true" outlineLevel="0" collapsed="false">
      <c r="C193" s="23"/>
      <c r="D193" s="23"/>
      <c r="I193" s="25"/>
      <c r="L193" s="23"/>
      <c r="M193" s="23"/>
      <c r="N193" s="59"/>
      <c r="O193" s="59"/>
      <c r="P193" s="59"/>
      <c r="Q193" s="23"/>
    </row>
    <row r="194" customFormat="false" ht="12.75" hidden="false" customHeight="true" outlineLevel="0" collapsed="false">
      <c r="C194" s="23"/>
      <c r="D194" s="23"/>
      <c r="I194" s="25"/>
      <c r="L194" s="23"/>
      <c r="M194" s="23"/>
      <c r="N194" s="59"/>
      <c r="O194" s="59"/>
      <c r="P194" s="59"/>
      <c r="Q194" s="23"/>
    </row>
    <row r="195" customFormat="false" ht="12.75" hidden="false" customHeight="true" outlineLevel="0" collapsed="false">
      <c r="C195" s="23"/>
      <c r="D195" s="23"/>
      <c r="I195" s="25"/>
      <c r="L195" s="23"/>
      <c r="M195" s="23"/>
      <c r="N195" s="59"/>
      <c r="O195" s="59"/>
      <c r="P195" s="59"/>
      <c r="Q195" s="23"/>
    </row>
    <row r="196" customFormat="false" ht="12.75" hidden="false" customHeight="true" outlineLevel="0" collapsed="false">
      <c r="C196" s="23"/>
      <c r="D196" s="23"/>
      <c r="I196" s="25"/>
      <c r="L196" s="23"/>
      <c r="M196" s="23"/>
      <c r="N196" s="59"/>
      <c r="O196" s="59"/>
      <c r="P196" s="59"/>
      <c r="Q196" s="23"/>
    </row>
    <row r="197" customFormat="false" ht="12.75" hidden="false" customHeight="true" outlineLevel="0" collapsed="false">
      <c r="C197" s="23"/>
      <c r="D197" s="23"/>
      <c r="I197" s="25"/>
      <c r="L197" s="23"/>
      <c r="M197" s="23"/>
      <c r="N197" s="59"/>
      <c r="O197" s="59"/>
      <c r="P197" s="59"/>
      <c r="Q197" s="23"/>
    </row>
    <row r="198" customFormat="false" ht="12.75" hidden="false" customHeight="true" outlineLevel="0" collapsed="false">
      <c r="C198" s="23"/>
      <c r="D198" s="23"/>
      <c r="I198" s="25"/>
      <c r="L198" s="23"/>
      <c r="M198" s="23"/>
      <c r="N198" s="59"/>
      <c r="O198" s="59"/>
      <c r="P198" s="59"/>
      <c r="Q198" s="23"/>
    </row>
    <row r="199" customFormat="false" ht="12.75" hidden="false" customHeight="true" outlineLevel="0" collapsed="false">
      <c r="C199" s="23"/>
      <c r="D199" s="23"/>
      <c r="I199" s="25"/>
      <c r="L199" s="23"/>
      <c r="M199" s="23"/>
      <c r="N199" s="59"/>
      <c r="O199" s="59"/>
      <c r="P199" s="59"/>
      <c r="Q199" s="23"/>
    </row>
    <row r="200" customFormat="false" ht="12.75" hidden="false" customHeight="true" outlineLevel="0" collapsed="false">
      <c r="C200" s="23"/>
      <c r="D200" s="23"/>
      <c r="I200" s="25"/>
      <c r="L200" s="23"/>
      <c r="M200" s="23"/>
      <c r="N200" s="59"/>
      <c r="O200" s="59"/>
      <c r="P200" s="59"/>
      <c r="Q200" s="23"/>
    </row>
    <row r="201" customFormat="false" ht="12.75" hidden="false" customHeight="true" outlineLevel="0" collapsed="false">
      <c r="C201" s="23"/>
      <c r="D201" s="23"/>
      <c r="I201" s="25"/>
      <c r="L201" s="23"/>
      <c r="M201" s="23"/>
      <c r="N201" s="59"/>
      <c r="O201" s="59"/>
      <c r="P201" s="59"/>
      <c r="Q201" s="23"/>
    </row>
    <row r="202" customFormat="false" ht="12.75" hidden="false" customHeight="true" outlineLevel="0" collapsed="false">
      <c r="C202" s="23"/>
      <c r="D202" s="23"/>
      <c r="I202" s="25"/>
      <c r="L202" s="23"/>
      <c r="M202" s="23"/>
      <c r="N202" s="59"/>
      <c r="O202" s="59"/>
      <c r="P202" s="59"/>
      <c r="Q202" s="23"/>
    </row>
    <row r="203" customFormat="false" ht="12.75" hidden="false" customHeight="true" outlineLevel="0" collapsed="false">
      <c r="C203" s="23"/>
      <c r="D203" s="23"/>
      <c r="I203" s="25"/>
      <c r="L203" s="23"/>
      <c r="M203" s="23"/>
      <c r="N203" s="59"/>
      <c r="O203" s="59"/>
      <c r="P203" s="59"/>
      <c r="Q203" s="23"/>
    </row>
    <row r="204" customFormat="false" ht="12.75" hidden="false" customHeight="true" outlineLevel="0" collapsed="false">
      <c r="C204" s="23"/>
      <c r="D204" s="23"/>
      <c r="I204" s="25"/>
      <c r="L204" s="23"/>
      <c r="M204" s="23"/>
      <c r="N204" s="59"/>
      <c r="O204" s="59"/>
      <c r="P204" s="59"/>
      <c r="Q204" s="23"/>
    </row>
    <row r="205" customFormat="false" ht="12.75" hidden="false" customHeight="true" outlineLevel="0" collapsed="false">
      <c r="C205" s="23"/>
      <c r="D205" s="23"/>
      <c r="I205" s="25"/>
      <c r="L205" s="23"/>
      <c r="M205" s="23"/>
      <c r="N205" s="59"/>
      <c r="O205" s="59"/>
      <c r="P205" s="59"/>
      <c r="Q205" s="23"/>
    </row>
    <row r="206" customFormat="false" ht="12.75" hidden="false" customHeight="true" outlineLevel="0" collapsed="false">
      <c r="C206" s="23"/>
      <c r="D206" s="23"/>
      <c r="I206" s="25"/>
      <c r="L206" s="23"/>
      <c r="M206" s="23"/>
      <c r="N206" s="59"/>
      <c r="O206" s="59"/>
      <c r="P206" s="59"/>
      <c r="Q206" s="23"/>
    </row>
    <row r="207" customFormat="false" ht="12.75" hidden="false" customHeight="true" outlineLevel="0" collapsed="false">
      <c r="C207" s="23"/>
      <c r="D207" s="23"/>
      <c r="I207" s="25"/>
      <c r="L207" s="23"/>
      <c r="M207" s="23"/>
      <c r="N207" s="59"/>
      <c r="O207" s="59"/>
      <c r="P207" s="59"/>
      <c r="Q207" s="23"/>
    </row>
    <row r="208" customFormat="false" ht="12.75" hidden="false" customHeight="true" outlineLevel="0" collapsed="false">
      <c r="C208" s="23"/>
      <c r="D208" s="23"/>
      <c r="I208" s="25"/>
      <c r="L208" s="23"/>
      <c r="M208" s="23"/>
      <c r="N208" s="59"/>
      <c r="O208" s="59"/>
      <c r="P208" s="59"/>
      <c r="Q208" s="23"/>
    </row>
    <row r="209" customFormat="false" ht="12.75" hidden="false" customHeight="true" outlineLevel="0" collapsed="false">
      <c r="C209" s="23"/>
      <c r="D209" s="23"/>
      <c r="I209" s="25"/>
      <c r="L209" s="23"/>
      <c r="M209" s="23"/>
      <c r="N209" s="59"/>
      <c r="O209" s="59"/>
      <c r="P209" s="59"/>
      <c r="Q209" s="23"/>
    </row>
    <row r="210" customFormat="false" ht="12.75" hidden="false" customHeight="true" outlineLevel="0" collapsed="false">
      <c r="C210" s="23"/>
      <c r="D210" s="23"/>
      <c r="I210" s="25"/>
      <c r="L210" s="23"/>
      <c r="M210" s="23"/>
      <c r="N210" s="59"/>
      <c r="O210" s="59"/>
      <c r="P210" s="59"/>
      <c r="Q210" s="23"/>
    </row>
    <row r="211" customFormat="false" ht="12.75" hidden="false" customHeight="true" outlineLevel="0" collapsed="false">
      <c r="C211" s="23"/>
      <c r="D211" s="23"/>
      <c r="I211" s="25"/>
      <c r="L211" s="23"/>
      <c r="M211" s="23"/>
      <c r="N211" s="59"/>
      <c r="O211" s="59"/>
      <c r="P211" s="59"/>
      <c r="Q211" s="23"/>
    </row>
    <row r="212" customFormat="false" ht="12.75" hidden="false" customHeight="true" outlineLevel="0" collapsed="false">
      <c r="C212" s="23"/>
      <c r="D212" s="23"/>
      <c r="I212" s="25"/>
      <c r="L212" s="23"/>
      <c r="M212" s="23"/>
      <c r="N212" s="59"/>
      <c r="O212" s="59"/>
      <c r="P212" s="59"/>
      <c r="Q212" s="23"/>
    </row>
    <row r="213" customFormat="false" ht="12.75" hidden="false" customHeight="true" outlineLevel="0" collapsed="false">
      <c r="C213" s="23"/>
      <c r="D213" s="23"/>
      <c r="I213" s="25"/>
      <c r="L213" s="23"/>
      <c r="M213" s="23"/>
      <c r="N213" s="59"/>
      <c r="O213" s="59"/>
      <c r="P213" s="59"/>
      <c r="Q213" s="23"/>
    </row>
    <row r="214" customFormat="false" ht="12.75" hidden="false" customHeight="true" outlineLevel="0" collapsed="false">
      <c r="C214" s="23"/>
      <c r="D214" s="23"/>
      <c r="I214" s="25"/>
      <c r="L214" s="23"/>
      <c r="M214" s="23"/>
      <c r="N214" s="59"/>
      <c r="O214" s="59"/>
      <c r="P214" s="59"/>
      <c r="Q214" s="23"/>
    </row>
    <row r="215" customFormat="false" ht="12.75" hidden="false" customHeight="true" outlineLevel="0" collapsed="false">
      <c r="C215" s="23"/>
      <c r="D215" s="23"/>
      <c r="I215" s="25"/>
      <c r="L215" s="23"/>
      <c r="M215" s="23"/>
      <c r="N215" s="59"/>
      <c r="O215" s="59"/>
      <c r="P215" s="59"/>
      <c r="Q215" s="23"/>
    </row>
    <row r="216" customFormat="false" ht="12.75" hidden="false" customHeight="true" outlineLevel="0" collapsed="false">
      <c r="C216" s="23"/>
      <c r="D216" s="23"/>
      <c r="I216" s="25"/>
      <c r="L216" s="23"/>
      <c r="M216" s="23"/>
      <c r="N216" s="59"/>
      <c r="O216" s="59"/>
      <c r="P216" s="59"/>
      <c r="Q216" s="23"/>
    </row>
    <row r="217" customFormat="false" ht="12.75" hidden="false" customHeight="true" outlineLevel="0" collapsed="false">
      <c r="C217" s="23"/>
      <c r="D217" s="23"/>
      <c r="I217" s="25"/>
      <c r="L217" s="23"/>
      <c r="M217" s="23"/>
      <c r="N217" s="59"/>
      <c r="O217" s="59"/>
      <c r="P217" s="59"/>
      <c r="Q217" s="23"/>
    </row>
    <row r="218" customFormat="false" ht="12.75" hidden="false" customHeight="true" outlineLevel="0" collapsed="false">
      <c r="C218" s="23"/>
      <c r="D218" s="23"/>
      <c r="I218" s="25"/>
      <c r="L218" s="23"/>
      <c r="M218" s="23"/>
      <c r="N218" s="59"/>
      <c r="O218" s="59"/>
      <c r="P218" s="59"/>
      <c r="Q218" s="23"/>
    </row>
    <row r="219" customFormat="false" ht="12.75" hidden="false" customHeight="true" outlineLevel="0" collapsed="false">
      <c r="C219" s="23"/>
      <c r="D219" s="23"/>
      <c r="I219" s="25"/>
      <c r="L219" s="23"/>
      <c r="M219" s="23"/>
      <c r="N219" s="59"/>
      <c r="O219" s="59"/>
      <c r="P219" s="59"/>
      <c r="Q219" s="23"/>
    </row>
    <row r="220" customFormat="false" ht="12.75" hidden="false" customHeight="true" outlineLevel="0" collapsed="false">
      <c r="C220" s="23"/>
      <c r="D220" s="23"/>
      <c r="I220" s="25"/>
      <c r="L220" s="23"/>
      <c r="M220" s="23"/>
      <c r="N220" s="59"/>
      <c r="O220" s="59"/>
      <c r="P220" s="59"/>
      <c r="Q220" s="23"/>
    </row>
    <row r="221" customFormat="false" ht="12.75" hidden="false" customHeight="true" outlineLevel="0" collapsed="false">
      <c r="C221" s="23"/>
      <c r="D221" s="23"/>
      <c r="I221" s="25"/>
      <c r="L221" s="23"/>
      <c r="M221" s="23"/>
      <c r="N221" s="59"/>
      <c r="O221" s="59"/>
      <c r="P221" s="59"/>
      <c r="Q221" s="23"/>
    </row>
    <row r="222" customFormat="false" ht="12.75" hidden="false" customHeight="true" outlineLevel="0" collapsed="false">
      <c r="C222" s="23"/>
      <c r="D222" s="23"/>
      <c r="I222" s="25"/>
      <c r="L222" s="23"/>
      <c r="M222" s="23"/>
      <c r="N222" s="59"/>
      <c r="O222" s="59"/>
      <c r="P222" s="59"/>
      <c r="Q222" s="23"/>
    </row>
    <row r="223" customFormat="false" ht="12.75" hidden="false" customHeight="true" outlineLevel="0" collapsed="false">
      <c r="C223" s="23"/>
      <c r="D223" s="23"/>
      <c r="I223" s="25"/>
      <c r="L223" s="23"/>
      <c r="M223" s="23"/>
      <c r="N223" s="59"/>
      <c r="O223" s="59"/>
      <c r="P223" s="59"/>
      <c r="Q223" s="23"/>
    </row>
    <row r="224" customFormat="false" ht="12.75" hidden="false" customHeight="true" outlineLevel="0" collapsed="false">
      <c r="C224" s="23"/>
      <c r="D224" s="23"/>
      <c r="I224" s="25"/>
      <c r="L224" s="23"/>
      <c r="M224" s="23"/>
      <c r="N224" s="59"/>
      <c r="O224" s="59"/>
      <c r="P224" s="59"/>
      <c r="Q224" s="23"/>
    </row>
    <row r="225" customFormat="false" ht="12.75" hidden="false" customHeight="true" outlineLevel="0" collapsed="false">
      <c r="C225" s="23"/>
      <c r="D225" s="23"/>
      <c r="I225" s="25"/>
      <c r="L225" s="23"/>
      <c r="M225" s="23"/>
      <c r="N225" s="59"/>
      <c r="O225" s="59"/>
      <c r="P225" s="59"/>
      <c r="Q225" s="23"/>
    </row>
    <row r="226" customFormat="false" ht="12.75" hidden="false" customHeight="true" outlineLevel="0" collapsed="false">
      <c r="C226" s="23"/>
      <c r="D226" s="23"/>
      <c r="I226" s="25"/>
      <c r="L226" s="23"/>
      <c r="M226" s="23"/>
      <c r="N226" s="59"/>
      <c r="O226" s="59"/>
      <c r="P226" s="59"/>
      <c r="Q226" s="23"/>
    </row>
    <row r="227" customFormat="false" ht="12.75" hidden="false" customHeight="true" outlineLevel="0" collapsed="false">
      <c r="C227" s="23"/>
      <c r="D227" s="23"/>
      <c r="I227" s="25"/>
      <c r="L227" s="23"/>
      <c r="M227" s="23"/>
      <c r="N227" s="59"/>
      <c r="O227" s="59"/>
      <c r="P227" s="59"/>
      <c r="Q227" s="23"/>
    </row>
    <row r="228" customFormat="false" ht="12.75" hidden="false" customHeight="true" outlineLevel="0" collapsed="false">
      <c r="C228" s="23"/>
      <c r="D228" s="23"/>
      <c r="I228" s="25"/>
      <c r="L228" s="23"/>
      <c r="M228" s="23"/>
      <c r="N228" s="59"/>
      <c r="O228" s="59"/>
      <c r="P228" s="59"/>
      <c r="Q228" s="23"/>
    </row>
    <row r="229" customFormat="false" ht="12.75" hidden="false" customHeight="true" outlineLevel="0" collapsed="false">
      <c r="C229" s="23"/>
      <c r="D229" s="23"/>
      <c r="I229" s="25"/>
      <c r="L229" s="23"/>
      <c r="M229" s="23"/>
      <c r="N229" s="59"/>
      <c r="O229" s="59"/>
      <c r="P229" s="59"/>
      <c r="Q229" s="23"/>
    </row>
    <row r="230" customFormat="false" ht="12.75" hidden="false" customHeight="true" outlineLevel="0" collapsed="false">
      <c r="C230" s="23"/>
      <c r="D230" s="23"/>
      <c r="I230" s="25"/>
      <c r="L230" s="23"/>
      <c r="M230" s="23"/>
      <c r="N230" s="59"/>
      <c r="O230" s="59"/>
      <c r="P230" s="59"/>
      <c r="Q230" s="23"/>
    </row>
    <row r="231" customFormat="false" ht="12.75" hidden="false" customHeight="true" outlineLevel="0" collapsed="false">
      <c r="C231" s="23"/>
      <c r="D231" s="23"/>
      <c r="I231" s="25"/>
      <c r="L231" s="23"/>
      <c r="M231" s="23"/>
      <c r="N231" s="59"/>
      <c r="O231" s="59"/>
      <c r="P231" s="59"/>
      <c r="Q231" s="23"/>
    </row>
    <row r="232" customFormat="false" ht="12.75" hidden="false" customHeight="true" outlineLevel="0" collapsed="false">
      <c r="C232" s="23"/>
      <c r="D232" s="23"/>
      <c r="I232" s="25"/>
      <c r="L232" s="23"/>
      <c r="M232" s="23"/>
      <c r="N232" s="59"/>
      <c r="O232" s="59"/>
      <c r="P232" s="59"/>
      <c r="Q232" s="23"/>
    </row>
    <row r="233" customFormat="false" ht="12.75" hidden="false" customHeight="true" outlineLevel="0" collapsed="false">
      <c r="C233" s="23"/>
      <c r="D233" s="23"/>
      <c r="I233" s="25"/>
      <c r="L233" s="23"/>
      <c r="M233" s="23"/>
      <c r="N233" s="59"/>
      <c r="O233" s="59"/>
      <c r="P233" s="59"/>
      <c r="Q233" s="23"/>
    </row>
    <row r="234" customFormat="false" ht="12.75" hidden="false" customHeight="true" outlineLevel="0" collapsed="false">
      <c r="C234" s="23"/>
      <c r="D234" s="23"/>
      <c r="I234" s="25"/>
      <c r="L234" s="23"/>
      <c r="M234" s="23"/>
      <c r="N234" s="59"/>
      <c r="O234" s="59"/>
      <c r="P234" s="59"/>
      <c r="Q234" s="23"/>
    </row>
    <row r="235" customFormat="false" ht="12.75" hidden="false" customHeight="true" outlineLevel="0" collapsed="false">
      <c r="C235" s="23"/>
      <c r="D235" s="23"/>
      <c r="I235" s="25"/>
      <c r="L235" s="23"/>
      <c r="M235" s="23"/>
      <c r="N235" s="59"/>
      <c r="O235" s="59"/>
      <c r="P235" s="59"/>
      <c r="Q235" s="23"/>
    </row>
    <row r="236" customFormat="false" ht="12.75" hidden="false" customHeight="true" outlineLevel="0" collapsed="false">
      <c r="C236" s="23"/>
      <c r="D236" s="23"/>
      <c r="I236" s="25"/>
      <c r="L236" s="23"/>
      <c r="M236" s="23"/>
      <c r="N236" s="59"/>
      <c r="O236" s="59"/>
      <c r="P236" s="59"/>
      <c r="Q236" s="23"/>
    </row>
    <row r="237" customFormat="false" ht="12.75" hidden="false" customHeight="true" outlineLevel="0" collapsed="false">
      <c r="C237" s="23"/>
      <c r="D237" s="23"/>
      <c r="I237" s="25"/>
      <c r="L237" s="23"/>
      <c r="M237" s="23"/>
      <c r="N237" s="59"/>
      <c r="O237" s="59"/>
      <c r="P237" s="59"/>
      <c r="Q237" s="23"/>
    </row>
    <row r="238" customFormat="false" ht="12.75" hidden="false" customHeight="true" outlineLevel="0" collapsed="false">
      <c r="C238" s="23"/>
      <c r="D238" s="23"/>
      <c r="I238" s="25"/>
      <c r="L238" s="23"/>
      <c r="M238" s="23"/>
      <c r="N238" s="59"/>
      <c r="O238" s="59"/>
      <c r="P238" s="59"/>
      <c r="Q238" s="23"/>
    </row>
    <row r="239" customFormat="false" ht="12.75" hidden="false" customHeight="true" outlineLevel="0" collapsed="false">
      <c r="C239" s="23"/>
      <c r="D239" s="23"/>
      <c r="I239" s="25"/>
      <c r="L239" s="23"/>
      <c r="M239" s="23"/>
      <c r="N239" s="59"/>
      <c r="O239" s="59"/>
      <c r="P239" s="59"/>
      <c r="Q239" s="23"/>
    </row>
    <row r="240" customFormat="false" ht="12.75" hidden="false" customHeight="true" outlineLevel="0" collapsed="false">
      <c r="C240" s="23"/>
      <c r="D240" s="23"/>
      <c r="I240" s="25"/>
      <c r="L240" s="23"/>
      <c r="M240" s="23"/>
      <c r="N240" s="59"/>
      <c r="O240" s="59"/>
      <c r="P240" s="59"/>
      <c r="Q240" s="23"/>
    </row>
    <row r="241" customFormat="false" ht="12.75" hidden="false" customHeight="true" outlineLevel="0" collapsed="false">
      <c r="C241" s="23"/>
      <c r="D241" s="23"/>
      <c r="I241" s="25"/>
      <c r="L241" s="23"/>
      <c r="M241" s="23"/>
      <c r="N241" s="59"/>
      <c r="O241" s="59"/>
      <c r="P241" s="59"/>
      <c r="Q241" s="23"/>
    </row>
    <row r="242" customFormat="false" ht="12.75" hidden="false" customHeight="true" outlineLevel="0" collapsed="false">
      <c r="C242" s="23"/>
      <c r="D242" s="23"/>
      <c r="I242" s="25"/>
      <c r="L242" s="23"/>
      <c r="M242" s="23"/>
      <c r="N242" s="59"/>
      <c r="O242" s="59"/>
      <c r="P242" s="59"/>
      <c r="Q242" s="23"/>
    </row>
    <row r="243" customFormat="false" ht="12.75" hidden="false" customHeight="true" outlineLevel="0" collapsed="false">
      <c r="C243" s="23"/>
      <c r="D243" s="23"/>
      <c r="I243" s="25"/>
      <c r="L243" s="23"/>
      <c r="M243" s="23"/>
      <c r="N243" s="59"/>
      <c r="O243" s="59"/>
      <c r="P243" s="59"/>
      <c r="Q243" s="23"/>
    </row>
    <row r="244" customFormat="false" ht="12.75" hidden="false" customHeight="true" outlineLevel="0" collapsed="false">
      <c r="C244" s="23"/>
      <c r="D244" s="23"/>
      <c r="I244" s="25"/>
      <c r="L244" s="23"/>
      <c r="M244" s="23"/>
      <c r="N244" s="59"/>
      <c r="O244" s="59"/>
      <c r="P244" s="59"/>
      <c r="Q244" s="23"/>
    </row>
    <row r="245" customFormat="false" ht="12.75" hidden="false" customHeight="true" outlineLevel="0" collapsed="false">
      <c r="C245" s="23"/>
      <c r="D245" s="23"/>
      <c r="I245" s="25"/>
      <c r="L245" s="23"/>
      <c r="M245" s="23"/>
      <c r="N245" s="59"/>
      <c r="O245" s="59"/>
      <c r="P245" s="59"/>
      <c r="Q245" s="23"/>
    </row>
    <row r="246" customFormat="false" ht="12.75" hidden="false" customHeight="true" outlineLevel="0" collapsed="false">
      <c r="C246" s="23"/>
      <c r="D246" s="23"/>
      <c r="I246" s="25"/>
      <c r="L246" s="23"/>
      <c r="M246" s="23"/>
      <c r="N246" s="59"/>
      <c r="O246" s="59"/>
      <c r="P246" s="59"/>
      <c r="Q246" s="23"/>
    </row>
    <row r="247" customFormat="false" ht="12.75" hidden="false" customHeight="true" outlineLevel="0" collapsed="false">
      <c r="C247" s="23"/>
      <c r="D247" s="23"/>
      <c r="I247" s="25"/>
      <c r="L247" s="23"/>
      <c r="M247" s="23"/>
      <c r="N247" s="59"/>
      <c r="O247" s="59"/>
      <c r="P247" s="59"/>
      <c r="Q247" s="23"/>
    </row>
    <row r="248" customFormat="false" ht="12.75" hidden="false" customHeight="true" outlineLevel="0" collapsed="false">
      <c r="C248" s="23"/>
      <c r="D248" s="23"/>
      <c r="I248" s="25"/>
      <c r="L248" s="23"/>
      <c r="M248" s="23"/>
      <c r="N248" s="59"/>
      <c r="O248" s="59"/>
      <c r="P248" s="59"/>
      <c r="Q248" s="23"/>
    </row>
    <row r="249" customFormat="false" ht="12.75" hidden="false" customHeight="true" outlineLevel="0" collapsed="false">
      <c r="C249" s="23"/>
      <c r="D249" s="23"/>
      <c r="I249" s="25"/>
      <c r="L249" s="23"/>
      <c r="M249" s="23"/>
      <c r="N249" s="59"/>
      <c r="O249" s="59"/>
      <c r="P249" s="59"/>
      <c r="Q249" s="23"/>
    </row>
    <row r="250" customFormat="false" ht="12.75" hidden="false" customHeight="true" outlineLevel="0" collapsed="false">
      <c r="C250" s="23"/>
      <c r="D250" s="23"/>
      <c r="I250" s="25"/>
      <c r="L250" s="23"/>
      <c r="M250" s="23"/>
      <c r="N250" s="59"/>
      <c r="O250" s="59"/>
      <c r="P250" s="59"/>
      <c r="Q250" s="23"/>
    </row>
    <row r="251" customFormat="false" ht="12.75" hidden="false" customHeight="true" outlineLevel="0" collapsed="false">
      <c r="C251" s="23"/>
      <c r="D251" s="23"/>
      <c r="I251" s="25"/>
      <c r="L251" s="23"/>
      <c r="M251" s="23"/>
      <c r="N251" s="59"/>
      <c r="O251" s="59"/>
      <c r="P251" s="59"/>
      <c r="Q251" s="23"/>
    </row>
    <row r="252" customFormat="false" ht="12.75" hidden="false" customHeight="true" outlineLevel="0" collapsed="false">
      <c r="C252" s="23"/>
      <c r="D252" s="23"/>
      <c r="I252" s="25"/>
      <c r="L252" s="23"/>
      <c r="M252" s="23"/>
      <c r="N252" s="59"/>
      <c r="O252" s="59"/>
      <c r="P252" s="59"/>
      <c r="Q252" s="23"/>
    </row>
    <row r="253" customFormat="false" ht="12.75" hidden="false" customHeight="true" outlineLevel="0" collapsed="false">
      <c r="C253" s="23"/>
      <c r="D253" s="23"/>
      <c r="I253" s="25"/>
      <c r="L253" s="23"/>
      <c r="M253" s="23"/>
      <c r="N253" s="59"/>
      <c r="O253" s="59"/>
      <c r="P253" s="59"/>
      <c r="Q253" s="23"/>
    </row>
    <row r="254" customFormat="false" ht="12.75" hidden="false" customHeight="true" outlineLevel="0" collapsed="false">
      <c r="C254" s="23"/>
      <c r="D254" s="23"/>
      <c r="I254" s="25"/>
      <c r="L254" s="23"/>
      <c r="M254" s="23"/>
      <c r="N254" s="59"/>
      <c r="O254" s="59"/>
      <c r="P254" s="59"/>
      <c r="Q254" s="23"/>
    </row>
    <row r="255" customFormat="false" ht="12.75" hidden="false" customHeight="true" outlineLevel="0" collapsed="false">
      <c r="C255" s="23"/>
      <c r="D255" s="23"/>
      <c r="I255" s="25"/>
      <c r="L255" s="23"/>
      <c r="M255" s="23"/>
      <c r="N255" s="59"/>
      <c r="O255" s="59"/>
      <c r="P255" s="59"/>
      <c r="Q255" s="23"/>
    </row>
    <row r="256" customFormat="false" ht="12.75" hidden="false" customHeight="true" outlineLevel="0" collapsed="false">
      <c r="C256" s="23"/>
      <c r="D256" s="23"/>
      <c r="I256" s="25"/>
      <c r="L256" s="23"/>
      <c r="M256" s="23"/>
      <c r="N256" s="59"/>
      <c r="O256" s="59"/>
      <c r="P256" s="59"/>
      <c r="Q256" s="23"/>
    </row>
    <row r="257" customFormat="false" ht="12.75" hidden="false" customHeight="true" outlineLevel="0" collapsed="false">
      <c r="C257" s="23"/>
      <c r="D257" s="23"/>
      <c r="I257" s="25"/>
      <c r="L257" s="23"/>
      <c r="M257" s="23"/>
      <c r="N257" s="59"/>
      <c r="O257" s="59"/>
      <c r="P257" s="59"/>
      <c r="Q257" s="23"/>
    </row>
    <row r="258" customFormat="false" ht="12.75" hidden="false" customHeight="true" outlineLevel="0" collapsed="false">
      <c r="C258" s="23"/>
      <c r="D258" s="23"/>
      <c r="I258" s="25"/>
      <c r="L258" s="23"/>
      <c r="M258" s="23"/>
      <c r="N258" s="59"/>
      <c r="O258" s="59"/>
      <c r="P258" s="59"/>
      <c r="Q258" s="23"/>
    </row>
    <row r="259" customFormat="false" ht="12.75" hidden="false" customHeight="true" outlineLevel="0" collapsed="false">
      <c r="C259" s="23"/>
      <c r="D259" s="23"/>
      <c r="I259" s="25"/>
      <c r="L259" s="23"/>
      <c r="M259" s="23"/>
      <c r="N259" s="59"/>
      <c r="O259" s="59"/>
      <c r="P259" s="59"/>
      <c r="Q259" s="23"/>
    </row>
    <row r="260" customFormat="false" ht="12.75" hidden="false" customHeight="true" outlineLevel="0" collapsed="false">
      <c r="C260" s="23"/>
      <c r="D260" s="23"/>
      <c r="I260" s="25"/>
      <c r="L260" s="23"/>
      <c r="M260" s="23"/>
      <c r="N260" s="59"/>
      <c r="O260" s="59"/>
      <c r="P260" s="59"/>
      <c r="Q260" s="23"/>
    </row>
    <row r="261" customFormat="false" ht="12.75" hidden="false" customHeight="true" outlineLevel="0" collapsed="false">
      <c r="C261" s="23"/>
      <c r="D261" s="23"/>
      <c r="I261" s="25"/>
      <c r="L261" s="23"/>
      <c r="M261" s="23"/>
      <c r="N261" s="59"/>
      <c r="O261" s="59"/>
      <c r="P261" s="59"/>
      <c r="Q261" s="23"/>
    </row>
    <row r="262" customFormat="false" ht="12.75" hidden="false" customHeight="true" outlineLevel="0" collapsed="false">
      <c r="C262" s="23"/>
      <c r="D262" s="23"/>
      <c r="I262" s="25"/>
      <c r="L262" s="23"/>
      <c r="M262" s="23"/>
      <c r="N262" s="59"/>
      <c r="O262" s="59"/>
      <c r="P262" s="59"/>
      <c r="Q262" s="23"/>
    </row>
    <row r="263" customFormat="false" ht="12.75" hidden="false" customHeight="true" outlineLevel="0" collapsed="false">
      <c r="C263" s="23"/>
      <c r="D263" s="23"/>
      <c r="I263" s="25"/>
      <c r="L263" s="23"/>
      <c r="M263" s="23"/>
      <c r="N263" s="59"/>
      <c r="O263" s="59"/>
      <c r="P263" s="59"/>
      <c r="Q263" s="23"/>
    </row>
    <row r="264" customFormat="false" ht="12.75" hidden="false" customHeight="true" outlineLevel="0" collapsed="false">
      <c r="C264" s="23"/>
      <c r="D264" s="23"/>
      <c r="I264" s="25"/>
      <c r="L264" s="23"/>
      <c r="M264" s="23"/>
      <c r="N264" s="59"/>
      <c r="O264" s="59"/>
      <c r="P264" s="59"/>
      <c r="Q264" s="23"/>
    </row>
    <row r="265" customFormat="false" ht="12.75" hidden="false" customHeight="true" outlineLevel="0" collapsed="false">
      <c r="C265" s="23"/>
      <c r="D265" s="23"/>
      <c r="I265" s="25"/>
      <c r="L265" s="23"/>
      <c r="M265" s="23"/>
      <c r="N265" s="59"/>
      <c r="O265" s="59"/>
      <c r="P265" s="59"/>
      <c r="Q265" s="23"/>
    </row>
    <row r="266" customFormat="false" ht="12.75" hidden="false" customHeight="true" outlineLevel="0" collapsed="false">
      <c r="C266" s="23"/>
      <c r="D266" s="23"/>
      <c r="I266" s="25"/>
      <c r="L266" s="23"/>
      <c r="M266" s="23"/>
      <c r="N266" s="59"/>
      <c r="O266" s="59"/>
      <c r="P266" s="59"/>
      <c r="Q266" s="23"/>
    </row>
    <row r="267" customFormat="false" ht="12.75" hidden="false" customHeight="true" outlineLevel="0" collapsed="false">
      <c r="C267" s="23"/>
      <c r="D267" s="23"/>
      <c r="I267" s="25"/>
      <c r="L267" s="23"/>
      <c r="M267" s="23"/>
      <c r="N267" s="59"/>
      <c r="O267" s="59"/>
      <c r="P267" s="59"/>
      <c r="Q267" s="23"/>
    </row>
    <row r="268" customFormat="false" ht="12.75" hidden="false" customHeight="true" outlineLevel="0" collapsed="false">
      <c r="C268" s="23"/>
      <c r="D268" s="23"/>
      <c r="I268" s="25"/>
      <c r="L268" s="23"/>
      <c r="M268" s="23"/>
      <c r="N268" s="59"/>
      <c r="O268" s="59"/>
      <c r="P268" s="59"/>
      <c r="Q268" s="23"/>
    </row>
    <row r="269" customFormat="false" ht="12.75" hidden="false" customHeight="true" outlineLevel="0" collapsed="false">
      <c r="C269" s="23"/>
      <c r="D269" s="23"/>
      <c r="I269" s="25"/>
      <c r="L269" s="23"/>
      <c r="M269" s="23"/>
      <c r="N269" s="59"/>
      <c r="O269" s="59"/>
      <c r="P269" s="59"/>
      <c r="Q269" s="23"/>
    </row>
    <row r="270" customFormat="false" ht="12.75" hidden="false" customHeight="true" outlineLevel="0" collapsed="false">
      <c r="C270" s="23"/>
      <c r="D270" s="23"/>
      <c r="I270" s="25"/>
      <c r="L270" s="23"/>
      <c r="M270" s="23"/>
      <c r="N270" s="59"/>
      <c r="O270" s="59"/>
      <c r="P270" s="59"/>
      <c r="Q270" s="23"/>
    </row>
    <row r="271" customFormat="false" ht="12.75" hidden="false" customHeight="true" outlineLevel="0" collapsed="false">
      <c r="C271" s="23"/>
      <c r="D271" s="23"/>
      <c r="I271" s="25"/>
      <c r="L271" s="23"/>
      <c r="M271" s="23"/>
      <c r="N271" s="59"/>
      <c r="O271" s="59"/>
      <c r="P271" s="59"/>
      <c r="Q271" s="23"/>
    </row>
    <row r="272" customFormat="false" ht="12.75" hidden="false" customHeight="true" outlineLevel="0" collapsed="false">
      <c r="C272" s="23"/>
      <c r="D272" s="23"/>
      <c r="I272" s="25"/>
      <c r="L272" s="23"/>
      <c r="M272" s="23"/>
      <c r="N272" s="59"/>
      <c r="O272" s="59"/>
      <c r="P272" s="59"/>
      <c r="Q272" s="23"/>
    </row>
    <row r="273" customFormat="false" ht="12.75" hidden="false" customHeight="true" outlineLevel="0" collapsed="false">
      <c r="C273" s="23"/>
      <c r="D273" s="23"/>
      <c r="I273" s="25"/>
      <c r="L273" s="23"/>
      <c r="M273" s="23"/>
      <c r="N273" s="59"/>
      <c r="O273" s="59"/>
      <c r="P273" s="59"/>
      <c r="Q273" s="23"/>
    </row>
    <row r="274" customFormat="false" ht="12.75" hidden="false" customHeight="true" outlineLevel="0" collapsed="false">
      <c r="C274" s="23"/>
      <c r="D274" s="23"/>
      <c r="I274" s="25"/>
      <c r="L274" s="23"/>
      <c r="M274" s="23"/>
      <c r="N274" s="59"/>
      <c r="O274" s="59"/>
      <c r="P274" s="59"/>
      <c r="Q274" s="23"/>
    </row>
    <row r="275" customFormat="false" ht="12.75" hidden="false" customHeight="true" outlineLevel="0" collapsed="false">
      <c r="C275" s="23"/>
      <c r="D275" s="23"/>
      <c r="I275" s="25"/>
      <c r="L275" s="23"/>
      <c r="M275" s="23"/>
      <c r="N275" s="59"/>
      <c r="O275" s="59"/>
      <c r="P275" s="59"/>
      <c r="Q275" s="23"/>
    </row>
    <row r="276" customFormat="false" ht="12.75" hidden="false" customHeight="true" outlineLevel="0" collapsed="false">
      <c r="C276" s="23"/>
      <c r="D276" s="23"/>
      <c r="I276" s="25"/>
      <c r="L276" s="23"/>
      <c r="M276" s="23"/>
      <c r="N276" s="59"/>
      <c r="O276" s="59"/>
      <c r="P276" s="59"/>
      <c r="Q276" s="23"/>
    </row>
    <row r="277" customFormat="false" ht="12.75" hidden="false" customHeight="true" outlineLevel="0" collapsed="false">
      <c r="C277" s="23"/>
      <c r="D277" s="23"/>
      <c r="I277" s="25"/>
      <c r="L277" s="23"/>
      <c r="M277" s="23"/>
      <c r="N277" s="59"/>
      <c r="O277" s="59"/>
      <c r="P277" s="59"/>
      <c r="Q277" s="23"/>
    </row>
    <row r="278" customFormat="false" ht="12.75" hidden="false" customHeight="true" outlineLevel="0" collapsed="false">
      <c r="C278" s="23"/>
      <c r="D278" s="23"/>
      <c r="I278" s="25"/>
      <c r="L278" s="23"/>
      <c r="M278" s="23"/>
      <c r="N278" s="59"/>
      <c r="O278" s="59"/>
      <c r="P278" s="59"/>
      <c r="Q278" s="23"/>
    </row>
    <row r="279" customFormat="false" ht="12.75" hidden="false" customHeight="true" outlineLevel="0" collapsed="false">
      <c r="C279" s="23"/>
      <c r="D279" s="23"/>
      <c r="I279" s="25"/>
      <c r="L279" s="23"/>
      <c r="M279" s="23"/>
      <c r="N279" s="59"/>
      <c r="O279" s="59"/>
      <c r="P279" s="59"/>
      <c r="Q279" s="23"/>
    </row>
    <row r="280" customFormat="false" ht="12.75" hidden="false" customHeight="true" outlineLevel="0" collapsed="false">
      <c r="C280" s="23"/>
      <c r="D280" s="23"/>
      <c r="I280" s="25"/>
      <c r="L280" s="23"/>
      <c r="M280" s="23"/>
      <c r="N280" s="59"/>
      <c r="O280" s="59"/>
      <c r="P280" s="59"/>
      <c r="Q280" s="23"/>
    </row>
    <row r="281" customFormat="false" ht="12.75" hidden="false" customHeight="true" outlineLevel="0" collapsed="false">
      <c r="C281" s="23"/>
      <c r="D281" s="23"/>
      <c r="I281" s="25"/>
      <c r="L281" s="23"/>
      <c r="M281" s="23"/>
      <c r="N281" s="59"/>
      <c r="O281" s="59"/>
      <c r="P281" s="59"/>
      <c r="Q281" s="23"/>
    </row>
    <row r="282" customFormat="false" ht="12.75" hidden="false" customHeight="true" outlineLevel="0" collapsed="false">
      <c r="C282" s="23"/>
      <c r="D282" s="23"/>
      <c r="I282" s="25"/>
      <c r="L282" s="23"/>
      <c r="M282" s="23"/>
      <c r="N282" s="59"/>
      <c r="O282" s="59"/>
      <c r="P282" s="59"/>
      <c r="Q282" s="23"/>
    </row>
    <row r="283" customFormat="false" ht="12.75" hidden="false" customHeight="true" outlineLevel="0" collapsed="false">
      <c r="C283" s="23"/>
      <c r="D283" s="23"/>
      <c r="I283" s="25"/>
      <c r="L283" s="23"/>
      <c r="M283" s="23"/>
      <c r="N283" s="59"/>
      <c r="O283" s="59"/>
      <c r="P283" s="59"/>
      <c r="Q283" s="23"/>
    </row>
    <row r="284" customFormat="false" ht="12.75" hidden="false" customHeight="true" outlineLevel="0" collapsed="false">
      <c r="C284" s="23"/>
      <c r="D284" s="23"/>
      <c r="I284" s="25"/>
      <c r="L284" s="23"/>
      <c r="M284" s="23"/>
      <c r="N284" s="59"/>
      <c r="O284" s="59"/>
      <c r="P284" s="59"/>
      <c r="Q284" s="23"/>
    </row>
    <row r="285" customFormat="false" ht="12.75" hidden="false" customHeight="true" outlineLevel="0" collapsed="false">
      <c r="C285" s="23"/>
      <c r="D285" s="23"/>
      <c r="I285" s="25"/>
      <c r="L285" s="23"/>
      <c r="M285" s="23"/>
      <c r="N285" s="59"/>
      <c r="O285" s="59"/>
      <c r="P285" s="59"/>
      <c r="Q285" s="23"/>
    </row>
    <row r="286" customFormat="false" ht="12.75" hidden="false" customHeight="true" outlineLevel="0" collapsed="false">
      <c r="C286" s="23"/>
      <c r="D286" s="23"/>
      <c r="I286" s="25"/>
      <c r="L286" s="23"/>
      <c r="M286" s="23"/>
      <c r="N286" s="59"/>
      <c r="O286" s="59"/>
      <c r="P286" s="59"/>
      <c r="Q286" s="23"/>
    </row>
    <row r="287" customFormat="false" ht="12.75" hidden="false" customHeight="true" outlineLevel="0" collapsed="false">
      <c r="C287" s="23"/>
      <c r="D287" s="23"/>
      <c r="I287" s="25"/>
      <c r="L287" s="23"/>
      <c r="M287" s="23"/>
      <c r="N287" s="59"/>
      <c r="O287" s="59"/>
      <c r="P287" s="59"/>
      <c r="Q287" s="23"/>
    </row>
    <row r="288" customFormat="false" ht="12.75" hidden="false" customHeight="true" outlineLevel="0" collapsed="false">
      <c r="C288" s="23"/>
      <c r="D288" s="23"/>
      <c r="I288" s="25"/>
      <c r="L288" s="23"/>
      <c r="M288" s="23"/>
      <c r="N288" s="59"/>
      <c r="O288" s="59"/>
      <c r="P288" s="59"/>
      <c r="Q288" s="23"/>
    </row>
    <row r="289" customFormat="false" ht="12.75" hidden="false" customHeight="true" outlineLevel="0" collapsed="false">
      <c r="C289" s="23"/>
      <c r="D289" s="23"/>
      <c r="I289" s="25"/>
      <c r="L289" s="23"/>
      <c r="M289" s="23"/>
      <c r="N289" s="59"/>
      <c r="O289" s="59"/>
      <c r="P289" s="59"/>
      <c r="Q289" s="23"/>
    </row>
    <row r="290" customFormat="false" ht="12.75" hidden="false" customHeight="true" outlineLevel="0" collapsed="false">
      <c r="C290" s="23"/>
      <c r="D290" s="23"/>
      <c r="I290" s="25"/>
      <c r="L290" s="23"/>
      <c r="M290" s="23"/>
      <c r="N290" s="59"/>
      <c r="O290" s="59"/>
      <c r="P290" s="59"/>
      <c r="Q290" s="23"/>
    </row>
    <row r="291" customFormat="false" ht="12.75" hidden="false" customHeight="true" outlineLevel="0" collapsed="false">
      <c r="C291" s="23"/>
      <c r="D291" s="23"/>
      <c r="I291" s="25"/>
      <c r="L291" s="23"/>
      <c r="M291" s="23"/>
      <c r="N291" s="59"/>
      <c r="O291" s="59"/>
      <c r="P291" s="59"/>
      <c r="Q291" s="23"/>
    </row>
    <row r="292" customFormat="false" ht="12.75" hidden="false" customHeight="true" outlineLevel="0" collapsed="false">
      <c r="C292" s="23"/>
      <c r="D292" s="23"/>
      <c r="I292" s="25"/>
      <c r="L292" s="23"/>
      <c r="M292" s="23"/>
      <c r="N292" s="59"/>
      <c r="O292" s="59"/>
      <c r="P292" s="59"/>
      <c r="Q292" s="23"/>
    </row>
    <row r="293" customFormat="false" ht="12.75" hidden="false" customHeight="true" outlineLevel="0" collapsed="false">
      <c r="C293" s="23"/>
      <c r="D293" s="23"/>
      <c r="I293" s="25"/>
      <c r="L293" s="23"/>
      <c r="M293" s="23"/>
      <c r="N293" s="59"/>
      <c r="O293" s="59"/>
      <c r="P293" s="59"/>
      <c r="Q293" s="23"/>
    </row>
    <row r="294" customFormat="false" ht="12.75" hidden="false" customHeight="true" outlineLevel="0" collapsed="false">
      <c r="C294" s="23"/>
      <c r="D294" s="23"/>
      <c r="I294" s="25"/>
      <c r="L294" s="23"/>
      <c r="M294" s="23"/>
      <c r="N294" s="59"/>
      <c r="O294" s="59"/>
      <c r="P294" s="59"/>
      <c r="Q294" s="23"/>
    </row>
    <row r="295" customFormat="false" ht="12.75" hidden="false" customHeight="true" outlineLevel="0" collapsed="false">
      <c r="C295" s="23"/>
      <c r="D295" s="23"/>
      <c r="I295" s="25"/>
      <c r="L295" s="23"/>
      <c r="M295" s="23"/>
      <c r="N295" s="59"/>
      <c r="O295" s="59"/>
      <c r="P295" s="59"/>
      <c r="Q295" s="23"/>
    </row>
    <row r="296" customFormat="false" ht="12.75" hidden="false" customHeight="true" outlineLevel="0" collapsed="false">
      <c r="C296" s="23"/>
      <c r="D296" s="23"/>
      <c r="I296" s="25"/>
      <c r="L296" s="23"/>
      <c r="M296" s="23"/>
      <c r="N296" s="59"/>
      <c r="O296" s="59"/>
      <c r="P296" s="59"/>
      <c r="Q296" s="23"/>
    </row>
    <row r="297" customFormat="false" ht="12.75" hidden="false" customHeight="true" outlineLevel="0" collapsed="false">
      <c r="C297" s="23"/>
      <c r="D297" s="23"/>
      <c r="I297" s="25"/>
      <c r="L297" s="23"/>
      <c r="M297" s="23"/>
      <c r="N297" s="59"/>
      <c r="O297" s="59"/>
      <c r="P297" s="59"/>
      <c r="Q297" s="23"/>
    </row>
    <row r="298" customFormat="false" ht="12.75" hidden="false" customHeight="true" outlineLevel="0" collapsed="false">
      <c r="C298" s="23"/>
      <c r="D298" s="23"/>
      <c r="I298" s="25"/>
      <c r="L298" s="23"/>
      <c r="M298" s="23"/>
      <c r="N298" s="59"/>
      <c r="O298" s="59"/>
      <c r="P298" s="59"/>
      <c r="Q298" s="23"/>
    </row>
    <row r="299" customFormat="false" ht="12.75" hidden="false" customHeight="true" outlineLevel="0" collapsed="false">
      <c r="C299" s="23"/>
      <c r="D299" s="23"/>
      <c r="I299" s="25"/>
      <c r="L299" s="23"/>
      <c r="M299" s="23"/>
      <c r="N299" s="59"/>
      <c r="O299" s="59"/>
      <c r="P299" s="59"/>
      <c r="Q299" s="23"/>
    </row>
    <row r="300" customFormat="false" ht="12.75" hidden="false" customHeight="true" outlineLevel="0" collapsed="false">
      <c r="C300" s="23"/>
      <c r="D300" s="23"/>
      <c r="I300" s="25"/>
      <c r="L300" s="23"/>
      <c r="M300" s="23"/>
      <c r="N300" s="59"/>
      <c r="O300" s="59"/>
      <c r="P300" s="59"/>
      <c r="Q300" s="23"/>
    </row>
    <row r="301" customFormat="false" ht="12.75" hidden="false" customHeight="true" outlineLevel="0" collapsed="false">
      <c r="C301" s="23"/>
      <c r="D301" s="23"/>
      <c r="I301" s="25"/>
      <c r="L301" s="23"/>
      <c r="M301" s="23"/>
      <c r="N301" s="59"/>
      <c r="O301" s="59"/>
      <c r="P301" s="59"/>
      <c r="Q301" s="23"/>
    </row>
    <row r="302" customFormat="false" ht="12.75" hidden="false" customHeight="true" outlineLevel="0" collapsed="false">
      <c r="C302" s="23"/>
      <c r="D302" s="23"/>
      <c r="I302" s="25"/>
      <c r="L302" s="23"/>
      <c r="M302" s="23"/>
      <c r="N302" s="59"/>
      <c r="O302" s="59"/>
      <c r="P302" s="59"/>
      <c r="Q302" s="23"/>
    </row>
    <row r="303" customFormat="false" ht="12.75" hidden="false" customHeight="true" outlineLevel="0" collapsed="false">
      <c r="C303" s="23"/>
      <c r="D303" s="23"/>
      <c r="I303" s="25"/>
      <c r="L303" s="23"/>
      <c r="M303" s="23"/>
      <c r="N303" s="59"/>
      <c r="O303" s="59"/>
      <c r="P303" s="59"/>
      <c r="Q303" s="23"/>
    </row>
    <row r="304" customFormat="false" ht="12.75" hidden="false" customHeight="true" outlineLevel="0" collapsed="false">
      <c r="C304" s="23"/>
      <c r="D304" s="23"/>
      <c r="I304" s="25"/>
      <c r="L304" s="23"/>
      <c r="M304" s="23"/>
      <c r="N304" s="59"/>
      <c r="O304" s="59"/>
      <c r="P304" s="59"/>
      <c r="Q304" s="23"/>
    </row>
    <row r="305" customFormat="false" ht="12.75" hidden="false" customHeight="true" outlineLevel="0" collapsed="false">
      <c r="C305" s="23"/>
      <c r="D305" s="23"/>
      <c r="I305" s="25"/>
      <c r="L305" s="23"/>
      <c r="M305" s="23"/>
      <c r="N305" s="59"/>
      <c r="O305" s="59"/>
      <c r="P305" s="59"/>
      <c r="Q305" s="23"/>
    </row>
    <row r="306" customFormat="false" ht="12.75" hidden="false" customHeight="true" outlineLevel="0" collapsed="false">
      <c r="C306" s="23"/>
      <c r="D306" s="23"/>
      <c r="I306" s="25"/>
      <c r="L306" s="23"/>
      <c r="M306" s="23"/>
      <c r="N306" s="59"/>
      <c r="O306" s="59"/>
      <c r="P306" s="59"/>
      <c r="Q306" s="23"/>
    </row>
    <row r="307" customFormat="false" ht="12.75" hidden="false" customHeight="true" outlineLevel="0" collapsed="false">
      <c r="C307" s="23"/>
      <c r="D307" s="23"/>
      <c r="I307" s="25"/>
      <c r="L307" s="23"/>
      <c r="M307" s="23"/>
      <c r="N307" s="59"/>
      <c r="O307" s="59"/>
      <c r="P307" s="59"/>
      <c r="Q307" s="23"/>
    </row>
    <row r="308" customFormat="false" ht="12.75" hidden="false" customHeight="true" outlineLevel="0" collapsed="false">
      <c r="C308" s="23"/>
      <c r="D308" s="23"/>
      <c r="I308" s="25"/>
      <c r="L308" s="23"/>
      <c r="M308" s="23"/>
      <c r="N308" s="59"/>
      <c r="O308" s="59"/>
      <c r="P308" s="59"/>
      <c r="Q308" s="23"/>
    </row>
    <row r="309" customFormat="false" ht="12.75" hidden="false" customHeight="true" outlineLevel="0" collapsed="false">
      <c r="C309" s="23"/>
      <c r="D309" s="23"/>
      <c r="I309" s="25"/>
      <c r="L309" s="23"/>
      <c r="M309" s="23"/>
      <c r="N309" s="59"/>
      <c r="O309" s="59"/>
      <c r="P309" s="59"/>
      <c r="Q309" s="23"/>
    </row>
    <row r="310" customFormat="false" ht="12.75" hidden="false" customHeight="true" outlineLevel="0" collapsed="false">
      <c r="C310" s="23"/>
      <c r="D310" s="23"/>
      <c r="I310" s="25"/>
      <c r="L310" s="23"/>
      <c r="M310" s="23"/>
      <c r="N310" s="59"/>
      <c r="O310" s="59"/>
      <c r="P310" s="59"/>
      <c r="Q310" s="23"/>
    </row>
    <row r="311" customFormat="false" ht="12.75" hidden="false" customHeight="true" outlineLevel="0" collapsed="false">
      <c r="C311" s="23"/>
      <c r="D311" s="23"/>
      <c r="I311" s="25"/>
      <c r="L311" s="23"/>
      <c r="M311" s="23"/>
      <c r="N311" s="59"/>
      <c r="O311" s="59"/>
      <c r="P311" s="59"/>
      <c r="Q311" s="23"/>
    </row>
    <row r="312" customFormat="false" ht="12.75" hidden="false" customHeight="true" outlineLevel="0" collapsed="false">
      <c r="C312" s="23"/>
      <c r="D312" s="23"/>
      <c r="I312" s="25"/>
      <c r="L312" s="23"/>
      <c r="M312" s="23"/>
      <c r="N312" s="59"/>
      <c r="O312" s="59"/>
      <c r="P312" s="59"/>
      <c r="Q312" s="23"/>
    </row>
    <row r="313" customFormat="false" ht="12.75" hidden="false" customHeight="true" outlineLevel="0" collapsed="false">
      <c r="C313" s="23"/>
      <c r="D313" s="23"/>
      <c r="I313" s="25"/>
      <c r="L313" s="23"/>
      <c r="M313" s="23"/>
      <c r="N313" s="59"/>
      <c r="O313" s="59"/>
      <c r="P313" s="59"/>
      <c r="Q313" s="23"/>
    </row>
    <row r="314" customFormat="false" ht="12.75" hidden="false" customHeight="true" outlineLevel="0" collapsed="false">
      <c r="C314" s="23"/>
      <c r="D314" s="23"/>
      <c r="I314" s="25"/>
      <c r="L314" s="23"/>
      <c r="M314" s="23"/>
      <c r="N314" s="59"/>
      <c r="O314" s="59"/>
      <c r="P314" s="59"/>
      <c r="Q314" s="23"/>
    </row>
    <row r="315" customFormat="false" ht="12.75" hidden="false" customHeight="true" outlineLevel="0" collapsed="false">
      <c r="C315" s="23"/>
      <c r="D315" s="23"/>
      <c r="I315" s="25"/>
      <c r="L315" s="23"/>
      <c r="M315" s="23"/>
      <c r="N315" s="59"/>
      <c r="O315" s="59"/>
      <c r="P315" s="59"/>
      <c r="Q315" s="23"/>
    </row>
    <row r="316" customFormat="false" ht="12.75" hidden="false" customHeight="true" outlineLevel="0" collapsed="false">
      <c r="C316" s="23"/>
      <c r="D316" s="23"/>
      <c r="I316" s="25"/>
      <c r="L316" s="23"/>
      <c r="M316" s="23"/>
      <c r="N316" s="59"/>
      <c r="O316" s="59"/>
      <c r="P316" s="59"/>
      <c r="Q316" s="23"/>
    </row>
    <row r="317" customFormat="false" ht="12.75" hidden="false" customHeight="true" outlineLevel="0" collapsed="false">
      <c r="C317" s="23"/>
      <c r="D317" s="23"/>
      <c r="I317" s="25"/>
      <c r="L317" s="23"/>
      <c r="M317" s="23"/>
      <c r="N317" s="59"/>
      <c r="O317" s="59"/>
      <c r="P317" s="59"/>
      <c r="Q317" s="23"/>
    </row>
    <row r="318" customFormat="false" ht="12.75" hidden="false" customHeight="true" outlineLevel="0" collapsed="false">
      <c r="C318" s="23"/>
      <c r="D318" s="23"/>
      <c r="I318" s="25"/>
      <c r="L318" s="23"/>
      <c r="M318" s="23"/>
      <c r="N318" s="59"/>
      <c r="O318" s="59"/>
      <c r="P318" s="59"/>
      <c r="Q318" s="23"/>
    </row>
    <row r="319" customFormat="false" ht="12.75" hidden="false" customHeight="true" outlineLevel="0" collapsed="false">
      <c r="C319" s="23"/>
      <c r="D319" s="23"/>
      <c r="I319" s="25"/>
      <c r="L319" s="23"/>
      <c r="M319" s="23"/>
      <c r="N319" s="59"/>
      <c r="O319" s="59"/>
      <c r="P319" s="59"/>
      <c r="Q319" s="23"/>
    </row>
    <row r="320" customFormat="false" ht="12.75" hidden="false" customHeight="true" outlineLevel="0" collapsed="false">
      <c r="C320" s="23"/>
      <c r="D320" s="23"/>
      <c r="I320" s="25"/>
      <c r="L320" s="23"/>
      <c r="M320" s="23"/>
      <c r="N320" s="59"/>
      <c r="O320" s="59"/>
      <c r="P320" s="59"/>
      <c r="Q320" s="23"/>
    </row>
    <row r="321" customFormat="false" ht="12.75" hidden="false" customHeight="true" outlineLevel="0" collapsed="false">
      <c r="C321" s="23"/>
      <c r="D321" s="23"/>
      <c r="I321" s="25"/>
      <c r="L321" s="23"/>
      <c r="M321" s="23"/>
      <c r="N321" s="59"/>
      <c r="O321" s="59"/>
      <c r="P321" s="59"/>
      <c r="Q321" s="23"/>
    </row>
    <row r="322" customFormat="false" ht="12.75" hidden="false" customHeight="true" outlineLevel="0" collapsed="false">
      <c r="C322" s="23"/>
      <c r="D322" s="23"/>
      <c r="I322" s="25"/>
      <c r="L322" s="23"/>
      <c r="M322" s="23"/>
      <c r="N322" s="59"/>
      <c r="O322" s="59"/>
      <c r="P322" s="59"/>
      <c r="Q322" s="23"/>
    </row>
    <row r="323" customFormat="false" ht="12.75" hidden="false" customHeight="true" outlineLevel="0" collapsed="false">
      <c r="C323" s="23"/>
      <c r="D323" s="23"/>
      <c r="I323" s="25"/>
      <c r="L323" s="23"/>
      <c r="M323" s="23"/>
      <c r="N323" s="59"/>
      <c r="O323" s="59"/>
      <c r="P323" s="59"/>
      <c r="Q323" s="23"/>
    </row>
    <row r="324" customFormat="false" ht="12.75" hidden="false" customHeight="true" outlineLevel="0" collapsed="false">
      <c r="C324" s="23"/>
      <c r="D324" s="23"/>
      <c r="I324" s="25"/>
      <c r="L324" s="23"/>
      <c r="M324" s="23"/>
      <c r="N324" s="59"/>
      <c r="O324" s="59"/>
      <c r="P324" s="59"/>
      <c r="Q324" s="23"/>
    </row>
    <row r="325" customFormat="false" ht="12.75" hidden="false" customHeight="true" outlineLevel="0" collapsed="false">
      <c r="C325" s="23"/>
      <c r="D325" s="23"/>
      <c r="I325" s="25"/>
      <c r="L325" s="23"/>
      <c r="M325" s="23"/>
      <c r="N325" s="59"/>
      <c r="O325" s="59"/>
      <c r="P325" s="59"/>
      <c r="Q325" s="23"/>
    </row>
    <row r="326" customFormat="false" ht="12.75" hidden="false" customHeight="true" outlineLevel="0" collapsed="false">
      <c r="C326" s="23"/>
      <c r="D326" s="23"/>
      <c r="I326" s="25"/>
      <c r="L326" s="23"/>
      <c r="M326" s="23"/>
      <c r="N326" s="59"/>
      <c r="O326" s="59"/>
      <c r="P326" s="59"/>
      <c r="Q326" s="23"/>
    </row>
    <row r="327" customFormat="false" ht="12.75" hidden="false" customHeight="true" outlineLevel="0" collapsed="false">
      <c r="C327" s="23"/>
      <c r="D327" s="23"/>
      <c r="I327" s="25"/>
      <c r="L327" s="23"/>
      <c r="M327" s="23"/>
      <c r="N327" s="59"/>
      <c r="O327" s="59"/>
      <c r="P327" s="59"/>
      <c r="Q327" s="23"/>
    </row>
    <row r="328" customFormat="false" ht="12.75" hidden="false" customHeight="true" outlineLevel="0" collapsed="false">
      <c r="C328" s="23"/>
      <c r="D328" s="23"/>
      <c r="I328" s="25"/>
      <c r="L328" s="23"/>
      <c r="M328" s="23"/>
      <c r="N328" s="59"/>
      <c r="O328" s="59"/>
      <c r="P328" s="59"/>
      <c r="Q328" s="23"/>
    </row>
    <row r="329" customFormat="false" ht="12.75" hidden="false" customHeight="true" outlineLevel="0" collapsed="false">
      <c r="C329" s="23"/>
      <c r="D329" s="23"/>
      <c r="I329" s="25"/>
      <c r="L329" s="23"/>
      <c r="M329" s="23"/>
      <c r="N329" s="59"/>
      <c r="O329" s="59"/>
      <c r="P329" s="59"/>
      <c r="Q329" s="23"/>
    </row>
    <row r="330" customFormat="false" ht="12.75" hidden="false" customHeight="true" outlineLevel="0" collapsed="false">
      <c r="C330" s="23"/>
      <c r="D330" s="23"/>
      <c r="I330" s="25"/>
      <c r="L330" s="23"/>
      <c r="M330" s="23"/>
      <c r="N330" s="59"/>
      <c r="O330" s="59"/>
      <c r="P330" s="59"/>
      <c r="Q330" s="23"/>
    </row>
    <row r="331" customFormat="false" ht="12.75" hidden="false" customHeight="true" outlineLevel="0" collapsed="false">
      <c r="C331" s="23"/>
      <c r="D331" s="23"/>
      <c r="I331" s="25"/>
      <c r="L331" s="23"/>
      <c r="M331" s="23"/>
      <c r="N331" s="59"/>
      <c r="O331" s="59"/>
      <c r="P331" s="59"/>
      <c r="Q331" s="23"/>
    </row>
    <row r="332" customFormat="false" ht="12.75" hidden="false" customHeight="true" outlineLevel="0" collapsed="false">
      <c r="C332" s="23"/>
      <c r="D332" s="23"/>
      <c r="I332" s="25"/>
      <c r="L332" s="23"/>
      <c r="M332" s="23"/>
      <c r="N332" s="59"/>
      <c r="O332" s="59"/>
      <c r="P332" s="59"/>
      <c r="Q332" s="23"/>
    </row>
    <row r="333" customFormat="false" ht="12.75" hidden="false" customHeight="true" outlineLevel="0" collapsed="false">
      <c r="C333" s="23"/>
      <c r="D333" s="23"/>
      <c r="I333" s="25"/>
      <c r="L333" s="23"/>
      <c r="M333" s="23"/>
      <c r="N333" s="59"/>
      <c r="O333" s="59"/>
      <c r="P333" s="59"/>
      <c r="Q333" s="23"/>
    </row>
    <row r="334" customFormat="false" ht="12.75" hidden="false" customHeight="true" outlineLevel="0" collapsed="false">
      <c r="C334" s="23"/>
      <c r="D334" s="23"/>
      <c r="I334" s="25"/>
      <c r="L334" s="23"/>
      <c r="M334" s="23"/>
      <c r="N334" s="59"/>
      <c r="O334" s="59"/>
      <c r="P334" s="59"/>
      <c r="Q334" s="23"/>
    </row>
    <row r="335" customFormat="false" ht="12.75" hidden="false" customHeight="true" outlineLevel="0" collapsed="false">
      <c r="C335" s="23"/>
      <c r="D335" s="23"/>
      <c r="I335" s="25"/>
      <c r="L335" s="23"/>
      <c r="M335" s="23"/>
      <c r="N335" s="59"/>
      <c r="O335" s="59"/>
      <c r="P335" s="59"/>
      <c r="Q335" s="23"/>
    </row>
    <row r="336" customFormat="false" ht="12.75" hidden="false" customHeight="true" outlineLevel="0" collapsed="false">
      <c r="C336" s="23"/>
      <c r="D336" s="23"/>
      <c r="I336" s="25"/>
      <c r="L336" s="23"/>
      <c r="M336" s="23"/>
      <c r="N336" s="59"/>
      <c r="O336" s="59"/>
      <c r="P336" s="59"/>
      <c r="Q336" s="23"/>
    </row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H10" location="type_cheminement!A1" display="type_cheminement"/>
    <hyperlink ref="B11" location="activite!A1" display="activité"/>
    <hyperlink ref="H11" location="activite!A1" display="activité"/>
    <hyperlink ref="F15" r:id="rId1" display="coordonnées géographiques (GPS) du point de départ au format GeoJSON"/>
    <hyperlink ref="B22" location="environnement!A1" display="environnement"/>
    <hyperlink ref="H22" location="environnement!A1" display="environnement"/>
    <hyperlink ref="B24" location="presence_personnel!A1" display="presence_personnel"/>
    <hyperlink ref="H24" location="presence_personnel!A1" display="presence_personnel"/>
    <hyperlink ref="B30" location="exposition!A1" display="exposition"/>
    <hyperlink ref="H30" location="exposition!A1" display="exposition"/>
    <hyperlink ref="B31" location="label_psh!A1" display="label_psh"/>
    <hyperlink ref="H31" location="label_psh!A1" display="label_psh"/>
    <hyperlink ref="B33" location="pente!A1" display="pente_max"/>
    <hyperlink ref="H33" location="pente!A1" display="pente"/>
    <hyperlink ref="B34" location="devers!A1" display="devers_max"/>
    <hyperlink ref="H34" location="devers!A1" display="devers"/>
    <hyperlink ref="B37" location="type_sol!A1" display="type_sol"/>
    <hyperlink ref="H37" location="type_sol!A1" display="type_sol"/>
    <hyperlink ref="B38" location="etat_sol!A1" display="etat_sol"/>
    <hyperlink ref="H38" location="etat_sol!A1" display="etat_sol"/>
    <hyperlink ref="B39" location="systeme_guidage!A1" display="systeme_guidage"/>
    <hyperlink ref="H39" location="systeme_guidage!A1" display="systeme_guidage"/>
    <hyperlink ref="B40" location="reperabiliteRevetement!A1" display="reperabilite"/>
    <hyperlink ref="H40" location="reperabilite!A1" display="reperabilite"/>
    <hyperlink ref="B41" location="continuite_repere!A1" display="continuite_repere"/>
    <hyperlink ref="H41" location="continuite_repere!A1" display="continuite_repere"/>
    <hyperlink ref="B44" location="frequence_assise!A1" display="frequence_assise"/>
    <hyperlink ref="H44" location="frequence_assise!A1" display="frequence_assise"/>
    <hyperlink ref="H46" location="type_sol!A1" display="type_sol"/>
    <hyperlink ref="B49" location="pente!A1" display="pente_max_liaison"/>
    <hyperlink ref="H49" location="pente!A1" display="pente"/>
    <hyperlink ref="B50" location="devers!A1" display="devers_max_liaison"/>
    <hyperlink ref="H50" location="devers!A1" display="devers"/>
    <hyperlink ref="B51" location="continuite_repere!A1" display="continuite_repere_liaison"/>
    <hyperlink ref="H51" location="continuite_repere!A1" display="continuite_repere"/>
    <hyperlink ref="F56" r:id="rId2" display="géométrie linéaire du cheminement en projection Lambert93 au format GeoJSON"/>
    <hyperlink ref="B61" location="type_troncon!A1" display="type_troncon"/>
    <hyperlink ref="H61" location="type_troncon!A1" display="type_troncon"/>
    <hyperlink ref="B63" location="pente!A1" display="pente_max"/>
    <hyperlink ref="H63" location="pente!A1" display="pente"/>
    <hyperlink ref="B64" location="devers!A1" display="devers_max"/>
    <hyperlink ref="H64" location="devers!A1" display="devers"/>
    <hyperlink ref="B65" location="type_sol!A1" display="type_sol"/>
    <hyperlink ref="H65" location="type_sol!A1" display="type_sol"/>
    <hyperlink ref="B66" location="etatRevetement!A1" display="etat_sol"/>
    <hyperlink ref="H66" location="etatRevetement!A1" display="etat_sol"/>
    <hyperlink ref="B67" location="reperabilite!A1" display="reperabilite_troncon"/>
    <hyperlink ref="H67" location="reperabilite!A1" display="reperabilite"/>
    <hyperlink ref="B68" location="type_securite!A1" display="type_securite"/>
    <hyperlink ref="H68" location="type_securite!A1" display="type_securite"/>
    <hyperlink ref="F70" r:id="rId3" display="géométrie linéaire du tronçon (2D ou facultativement 3D) en projection Lambert93 au format GeoJSON"/>
    <hyperlink ref="B75" location="type_obstacle!A1" display="type_obstacle"/>
    <hyperlink ref="H75" location="type_obstacle!A1" display="type_obstacle"/>
    <hyperlink ref="B78" location="frequence_obstacle!A1" display="frequence_obstacle"/>
    <hyperlink ref="H78" location="frequence_obstacle!A1" display="frequence_obstacle"/>
    <hyperlink ref="B79" location="reperabilite!A1" display="reperabilite_obstacle"/>
    <hyperlink ref="H79" location="reperabilite!A1" display="reperabilite"/>
    <hyperlink ref="F81" r:id="rId4" display="géométrie ponctuelle de l'obstacle en projection Lambert93 au format GeoJSON"/>
    <hyperlink ref="B87" location="type_tc!A1" display="type_tc"/>
    <hyperlink ref="H87" location="type_tc!A1" display="type_tc"/>
    <hyperlink ref="F91" r:id="rId5" display="géométrie ponctuelle de l'obstacle en projection Lambert93 au format GeoJSON"/>
    <hyperlink ref="B97" location="localisation_stationnement!A1" display="localisation_stationnement"/>
    <hyperlink ref="H97" location="localisation_stationnement!A1" display="localisation_stationnement"/>
    <hyperlink ref="B98" location="type_sol!A1" display="type_sol"/>
    <hyperlink ref="H98" location="type_sol!A1" display="type_sol"/>
    <hyperlink ref="B99" location="etatRevetement!A1" display="etat_sol"/>
    <hyperlink ref="H99" location="etatRevetement!A1" display="etat_sol"/>
    <hyperlink ref="B104" location="pente!A1" display="pente"/>
    <hyperlink ref="H104" location="pente!A1" display="pente"/>
    <hyperlink ref="B105" location="devers!A1" display="devers"/>
    <hyperlink ref="H105" location="devers!A1" display="devers"/>
    <hyperlink ref="F111" r:id="rId6" display="géométrie ponctuelle ou surfacique de l'aire de stationnement en projection Lambert93 au format GeoJSON"/>
    <hyperlink ref="B115" location="type_mobilier!A1" display="type_mobilier"/>
    <hyperlink ref="H115" location="type_mobilier!A1" display="type_mobilier"/>
    <hyperlink ref="B116" location="etat_mobilier!A1" display="etat_mobilier"/>
    <hyperlink ref="H116" location="etat_mobilier!A1" display="etat_mobilier"/>
    <hyperlink ref="F118" r:id="rId7" display="géométrie ponctuelle du mobilier en projection Lambert93 au format GeoJSON"/>
    <hyperlink ref="B122" location="type_service!A1" display="type_service"/>
    <hyperlink ref="H122" location="type_service!A1" display="type_service"/>
    <hyperlink ref="B123" location="type_local!A1" display="type_local"/>
    <hyperlink ref="H123" location="type_local!A1" display="type_local"/>
    <hyperlink ref="B124" location="label_service!A1" display="label_service"/>
    <hyperlink ref="H124" location="label_service!A1" display="label_service"/>
    <hyperlink ref="J125" r:id="rId8" display="https://acceslibre.beta.gouv.fr/app/44-saint-nazaire/a/toilettes-publiques/erp/toilettes-publiques-courance/"/>
    <hyperlink ref="B126" location="aide_psh!A1" display="aide_psh"/>
    <hyperlink ref="H126" location="aide_psh!A1" display="aide_psh"/>
    <hyperlink ref="F129" r:id="rId9" display="géométrie ponctuelle du service en projection Lambert93 au format GeoJSON"/>
    <hyperlink ref="B133" location="type_support!A1" display="type_support"/>
    <hyperlink ref="H133" location="type_support!A1" display="type_support"/>
    <hyperlink ref="B134" location="type_signaletique!A1" display="type_signaletique"/>
    <hyperlink ref="H134" location="type_signaletique!A1" display="type_signaletique"/>
    <hyperlink ref="B135" location="mode_perception!A1" display="mode_perception"/>
    <hyperlink ref="H135" location="mode_perception!A1" display="mode_perception"/>
    <hyperlink ref="F137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4.62"/>
    <col collapsed="false" customWidth="true" hidden="false" outlineLevel="0" max="2" min="2" style="34" width="36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62</v>
      </c>
      <c r="B2" s="34" t="s">
        <v>419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420</v>
      </c>
      <c r="B3" s="34" t="s">
        <v>421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422</v>
      </c>
      <c r="B4" s="34" t="s">
        <v>423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A33" s="63"/>
      <c r="W33" s="34"/>
      <c r="X33" s="34"/>
      <c r="Y33" s="34"/>
      <c r="Z33" s="34"/>
    </row>
    <row r="34" customFormat="false" ht="12.75" hidden="false" customHeight="true" outlineLevel="0" collapsed="false">
      <c r="A34" s="64"/>
      <c r="W34" s="34"/>
      <c r="X34" s="34"/>
      <c r="Y34" s="34"/>
      <c r="Z34" s="34"/>
    </row>
    <row r="35" customFormat="false" ht="12.75" hidden="false" customHeight="true" outlineLevel="0" collapsed="false">
      <c r="A35" s="64"/>
      <c r="W35" s="34"/>
      <c r="X35" s="34"/>
      <c r="Y35" s="34"/>
      <c r="Z35" s="34"/>
    </row>
    <row r="36" customFormat="false" ht="12.75" hidden="false" customHeight="true" outlineLevel="0" collapsed="false">
      <c r="A36" s="64"/>
      <c r="W36" s="34"/>
      <c r="X36" s="34"/>
      <c r="Y36" s="34"/>
      <c r="Z36" s="34"/>
    </row>
    <row r="37" customFormat="false" ht="12.75" hidden="false" customHeight="true" outlineLevel="0" collapsed="false">
      <c r="A37" s="64"/>
      <c r="W37" s="34"/>
      <c r="X37" s="34"/>
      <c r="Y37" s="34"/>
      <c r="Z37" s="34"/>
    </row>
    <row r="38" customFormat="false" ht="12.75" hidden="false" customHeight="true" outlineLevel="0" collapsed="false">
      <c r="A38" s="64"/>
      <c r="W38" s="34"/>
      <c r="X38" s="34"/>
      <c r="Y38" s="34"/>
      <c r="Z38" s="34"/>
    </row>
    <row r="39" customFormat="false" ht="12.75" hidden="false" customHeight="true" outlineLevel="0" collapsed="false">
      <c r="A39" s="64"/>
      <c r="W39" s="34"/>
      <c r="X39" s="34"/>
      <c r="Y39" s="34"/>
      <c r="Z39" s="34"/>
    </row>
    <row r="40" customFormat="false" ht="12.75" hidden="false" customHeight="true" outlineLevel="0" collapsed="false">
      <c r="A40" s="64"/>
      <c r="W40" s="34"/>
      <c r="X40" s="34"/>
      <c r="Y40" s="34"/>
      <c r="Z40" s="34"/>
    </row>
    <row r="41" customFormat="false" ht="12.75" hidden="false" customHeight="true" outlineLevel="0" collapsed="false">
      <c r="A41" s="64"/>
      <c r="W41" s="34"/>
      <c r="X41" s="34"/>
      <c r="Y41" s="34"/>
      <c r="Z41" s="34"/>
    </row>
    <row r="42" customFormat="false" ht="12.75" hidden="false" customHeight="true" outlineLevel="0" collapsed="false">
      <c r="A42" s="64"/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32"/>
    <col collapsed="false" customWidth="true" hidden="false" outlineLevel="0" max="2" min="2" style="34" width="59.43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417</v>
      </c>
      <c r="B1" s="65"/>
      <c r="C1" s="62" t="s">
        <v>418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426</v>
      </c>
      <c r="B2" s="42" t="s">
        <v>427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428</v>
      </c>
      <c r="B3" s="42" t="s">
        <v>429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430</v>
      </c>
      <c r="B4" s="42" t="s">
        <v>431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432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433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178</v>
      </c>
      <c r="B8" s="42" t="s">
        <v>425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87"/>
    <col collapsed="false" customWidth="true" hidden="false" outlineLevel="0" max="2" min="2" style="34" width="17.95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183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434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173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178</v>
      </c>
      <c r="B5" s="34" t="s">
        <v>425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92</v>
      </c>
      <c r="B6" s="34" t="s">
        <v>92</v>
      </c>
      <c r="W6" s="34"/>
      <c r="X6" s="34"/>
      <c r="Y6" s="34"/>
      <c r="Z6" s="34"/>
    </row>
    <row r="7" customFormat="false" ht="12.75" hidden="false" customHeight="true" outlineLevel="0" collapsed="false"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153</v>
      </c>
      <c r="B2" s="34" t="s">
        <v>435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148</v>
      </c>
      <c r="B3" s="34" t="s">
        <v>436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437</v>
      </c>
      <c r="B4" s="34" t="s">
        <v>438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439</v>
      </c>
      <c r="B5" s="34" t="s">
        <v>440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1" width="82.36"/>
    <col collapsed="false" customWidth="true" hidden="false" outlineLevel="0" max="5" min="3" style="1" width="12.86"/>
    <col collapsed="false" customWidth="true" hidden="false" outlineLevel="0" max="6" min="6" style="1" width="103.09"/>
    <col collapsed="false" customWidth="true" hidden="false" outlineLevel="0" max="22" min="7" style="1" width="8.71"/>
    <col collapsed="false" customWidth="false" hidden="false" outlineLevel="0" max="16384" min="23" style="1" width="14.42"/>
  </cols>
  <sheetData>
    <row r="1" customFormat="false" ht="12.75" hidden="false" customHeight="true" outlineLevel="0" collapsed="false">
      <c r="A1" s="66" t="s">
        <v>417</v>
      </c>
      <c r="B1" s="67" t="s">
        <v>5</v>
      </c>
      <c r="C1" s="68" t="s">
        <v>418</v>
      </c>
    </row>
    <row r="2" customFormat="false" ht="12.75" hidden="false" customHeight="true" outlineLevel="0" collapsed="false">
      <c r="A2" s="23" t="s">
        <v>441</v>
      </c>
      <c r="B2" s="67"/>
      <c r="C2" s="68"/>
      <c r="F2" s="69"/>
    </row>
    <row r="3" customFormat="false" ht="12.75" hidden="false" customHeight="true" outlineLevel="0" collapsed="false">
      <c r="A3" s="1" t="s">
        <v>442</v>
      </c>
      <c r="F3" s="69"/>
    </row>
    <row r="4" customFormat="false" ht="12.75" hidden="false" customHeight="true" outlineLevel="0" collapsed="false">
      <c r="A4" s="1" t="s">
        <v>443</v>
      </c>
      <c r="F4" s="69"/>
    </row>
    <row r="5" customFormat="false" ht="12.75" hidden="false" customHeight="true" outlineLevel="0" collapsed="false">
      <c r="A5" s="1" t="s">
        <v>444</v>
      </c>
      <c r="B5" s="1" t="s">
        <v>445</v>
      </c>
      <c r="F5" s="69"/>
    </row>
    <row r="6" customFormat="false" ht="12.75" hidden="false" customHeight="true" outlineLevel="0" collapsed="false">
      <c r="A6" s="1" t="s">
        <v>446</v>
      </c>
      <c r="F6" s="69"/>
    </row>
    <row r="7" customFormat="false" ht="12.75" hidden="false" customHeight="true" outlineLevel="0" collapsed="false">
      <c r="A7" s="1" t="s">
        <v>447</v>
      </c>
      <c r="B7" s="1" t="s">
        <v>448</v>
      </c>
      <c r="F7" s="69"/>
    </row>
    <row r="8" customFormat="false" ht="12.75" hidden="false" customHeight="true" outlineLevel="0" collapsed="false">
      <c r="A8" s="1" t="s">
        <v>449</v>
      </c>
      <c r="F8" s="69"/>
    </row>
    <row r="9" customFormat="false" ht="12.75" hidden="false" customHeight="true" outlineLevel="0" collapsed="false">
      <c r="A9" s="1" t="s">
        <v>450</v>
      </c>
      <c r="B9" s="1" t="s">
        <v>451</v>
      </c>
      <c r="F9" s="69"/>
    </row>
    <row r="10" customFormat="false" ht="12.75" hidden="false" customHeight="true" outlineLevel="0" collapsed="false">
      <c r="A10" s="1" t="s">
        <v>452</v>
      </c>
      <c r="B10" s="36" t="s">
        <v>453</v>
      </c>
      <c r="F10" s="69"/>
    </row>
    <row r="11" customFormat="false" ht="12.75" hidden="false" customHeight="true" outlineLevel="0" collapsed="false">
      <c r="A11" s="36" t="s">
        <v>454</v>
      </c>
      <c r="B11" s="1" t="s">
        <v>455</v>
      </c>
      <c r="F11" s="69"/>
    </row>
    <row r="12" customFormat="false" ht="12.75" hidden="false" customHeight="true" outlineLevel="0" collapsed="false">
      <c r="A12" s="1" t="s">
        <v>456</v>
      </c>
      <c r="B12" s="1" t="s">
        <v>457</v>
      </c>
      <c r="F12" s="69"/>
    </row>
    <row r="13" customFormat="false" ht="12.75" hidden="false" customHeight="true" outlineLevel="0" collapsed="false">
      <c r="A13" s="1" t="s">
        <v>458</v>
      </c>
      <c r="B13" s="36" t="s">
        <v>459</v>
      </c>
      <c r="F13" s="69"/>
    </row>
    <row r="14" customFormat="false" ht="12.75" hidden="false" customHeight="true" outlineLevel="0" collapsed="false">
      <c r="A14" s="1" t="s">
        <v>460</v>
      </c>
      <c r="B14" s="1" t="s">
        <v>461</v>
      </c>
      <c r="F14" s="69"/>
    </row>
    <row r="15" customFormat="false" ht="12.75" hidden="false" customHeight="true" outlineLevel="0" collapsed="false">
      <c r="A15" s="1" t="s">
        <v>462</v>
      </c>
      <c r="B15" s="1" t="s">
        <v>463</v>
      </c>
      <c r="F15" s="69"/>
    </row>
    <row r="16" customFormat="false" ht="12.75" hidden="false" customHeight="true" outlineLevel="0" collapsed="false">
      <c r="A16" s="1" t="s">
        <v>464</v>
      </c>
      <c r="B16" s="1" t="s">
        <v>465</v>
      </c>
      <c r="F16" s="69"/>
    </row>
    <row r="17" customFormat="false" ht="12.75" hidden="false" customHeight="true" outlineLevel="0" collapsed="false">
      <c r="A17" s="1" t="s">
        <v>466</v>
      </c>
      <c r="B17" s="1" t="s">
        <v>467</v>
      </c>
      <c r="F17" s="69"/>
    </row>
    <row r="18" customFormat="false" ht="12.75" hidden="false" customHeight="true" outlineLevel="0" collapsed="false">
      <c r="A18" s="1" t="s">
        <v>468</v>
      </c>
      <c r="B18" s="1" t="s">
        <v>469</v>
      </c>
      <c r="F18" s="69"/>
    </row>
    <row r="19" customFormat="false" ht="12.75" hidden="false" customHeight="true" outlineLevel="0" collapsed="false">
      <c r="A19" s="1" t="s">
        <v>433</v>
      </c>
      <c r="B19" s="1" t="s">
        <v>470</v>
      </c>
      <c r="F19" s="69"/>
    </row>
    <row r="20" customFormat="false" ht="12.75" hidden="false" customHeight="true" outlineLevel="0" collapsed="false">
      <c r="F20" s="40"/>
    </row>
    <row r="21" customFormat="false" ht="12.75" hidden="false" customHeight="true" outlineLevel="0" collapsed="false">
      <c r="F21" s="40"/>
    </row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6" t="s">
        <v>417</v>
      </c>
      <c r="B1" s="67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1" t="s">
        <v>367</v>
      </c>
      <c r="B2" s="1"/>
      <c r="W2" s="34"/>
      <c r="X2" s="34"/>
      <c r="Y2" s="34"/>
      <c r="Z2" s="34"/>
    </row>
    <row r="3" customFormat="false" ht="12.75" hidden="false" customHeight="true" outlineLevel="0" collapsed="false">
      <c r="A3" s="23" t="s">
        <v>471</v>
      </c>
      <c r="B3" s="1"/>
      <c r="W3" s="34"/>
      <c r="X3" s="34"/>
      <c r="Y3" s="34"/>
      <c r="Z3" s="34"/>
    </row>
    <row r="4" customFormat="false" ht="12.75" hidden="false" customHeight="true" outlineLevel="0" collapsed="false">
      <c r="A4" s="23" t="s">
        <v>437</v>
      </c>
      <c r="B4" s="1"/>
      <c r="W4" s="34"/>
      <c r="X4" s="34"/>
      <c r="Y4" s="34"/>
      <c r="Z4" s="34"/>
    </row>
    <row r="5" customFormat="false" ht="12.75" hidden="false" customHeight="true" outlineLevel="0" collapsed="false">
      <c r="A5" s="1" t="s">
        <v>472</v>
      </c>
      <c r="B5" s="1"/>
      <c r="W5" s="34"/>
      <c r="X5" s="34"/>
      <c r="Y5" s="34"/>
      <c r="Z5" s="34"/>
    </row>
    <row r="6" customFormat="false" ht="12.75" hidden="false" customHeight="true" outlineLevel="0" collapsed="false">
      <c r="A6" s="1" t="s">
        <v>473</v>
      </c>
      <c r="B6" s="1"/>
      <c r="W6" s="34"/>
      <c r="X6" s="34"/>
      <c r="Y6" s="34"/>
      <c r="Z6" s="34"/>
    </row>
    <row r="7" customFormat="false" ht="12.75" hidden="false" customHeight="true" outlineLevel="0" collapsed="false">
      <c r="A7" s="1" t="s">
        <v>178</v>
      </c>
      <c r="B7" s="1" t="s">
        <v>425</v>
      </c>
      <c r="W7" s="34"/>
      <c r="X7" s="34"/>
      <c r="Y7" s="34"/>
      <c r="Z7" s="34"/>
    </row>
    <row r="8" customFormat="false" ht="12.75" hidden="false" customHeight="true" outlineLevel="0" collapsed="false">
      <c r="A8" s="1" t="s">
        <v>92</v>
      </c>
      <c r="B8" s="1" t="s">
        <v>92</v>
      </c>
      <c r="W8" s="34"/>
      <c r="X8" s="34"/>
      <c r="Y8" s="34"/>
      <c r="Z8" s="34"/>
    </row>
    <row r="9" customFormat="false" ht="12.75" hidden="false" customHeight="true" outlineLevel="0" collapsed="false">
      <c r="A9" s="1"/>
      <c r="B9" s="1"/>
      <c r="W9" s="34"/>
      <c r="X9" s="34"/>
      <c r="Y9" s="34"/>
      <c r="Z9" s="34"/>
    </row>
    <row r="10" customFormat="false" ht="12.75" hidden="false" customHeight="true" outlineLevel="0" collapsed="false">
      <c r="A10" s="1"/>
      <c r="B10" s="1"/>
      <c r="W10" s="34"/>
      <c r="X10" s="34"/>
      <c r="Y10" s="34"/>
      <c r="Z10" s="34"/>
    </row>
    <row r="11" customFormat="false" ht="12.75" hidden="false" customHeight="true" outlineLevel="0" collapsed="false">
      <c r="A11" s="1"/>
      <c r="B11" s="1"/>
      <c r="W11" s="34"/>
      <c r="X11" s="34"/>
      <c r="Y11" s="34"/>
      <c r="Z11" s="34"/>
    </row>
    <row r="12" customFormat="false" ht="12.75" hidden="false" customHeight="true" outlineLevel="0" collapsed="false">
      <c r="A12" s="1"/>
      <c r="B12" s="1"/>
      <c r="W12" s="34"/>
      <c r="X12" s="34"/>
      <c r="Y12" s="34"/>
      <c r="Z12" s="34"/>
    </row>
    <row r="13" customFormat="false" ht="12.75" hidden="false" customHeight="true" outlineLevel="0" collapsed="false">
      <c r="A13" s="1"/>
      <c r="B13" s="1"/>
      <c r="W13" s="34"/>
      <c r="X13" s="34"/>
      <c r="Y13" s="34"/>
      <c r="Z13" s="34"/>
    </row>
    <row r="14" customFormat="false" ht="12.75" hidden="false" customHeight="true" outlineLevel="0" collapsed="false">
      <c r="A14" s="1"/>
      <c r="B14" s="1"/>
      <c r="W14" s="34"/>
      <c r="X14" s="34"/>
      <c r="Y14" s="34"/>
      <c r="Z14" s="34"/>
    </row>
    <row r="15" customFormat="false" ht="12.75" hidden="false" customHeight="true" outlineLevel="0" collapsed="false">
      <c r="A15" s="1"/>
      <c r="B15" s="1"/>
      <c r="W15" s="34"/>
      <c r="X15" s="34"/>
      <c r="Y15" s="34"/>
      <c r="Z15" s="34"/>
    </row>
    <row r="16" customFormat="false" ht="12.75" hidden="false" customHeight="true" outlineLevel="0" collapsed="false">
      <c r="A16" s="1"/>
      <c r="B16" s="1"/>
      <c r="W16" s="34"/>
      <c r="X16" s="34"/>
      <c r="Y16" s="34"/>
      <c r="Z16" s="34"/>
    </row>
    <row r="17" customFormat="false" ht="12.75" hidden="false" customHeight="true" outlineLevel="0" collapsed="false">
      <c r="A17" s="1"/>
      <c r="B17" s="1"/>
      <c r="W17" s="34"/>
      <c r="X17" s="34"/>
      <c r="Y17" s="34"/>
      <c r="Z17" s="34"/>
    </row>
    <row r="18" customFormat="false" ht="12.75" hidden="false" customHeight="true" outlineLevel="0" collapsed="false">
      <c r="A18" s="1"/>
      <c r="B18" s="1"/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B25" s="3"/>
      <c r="C25" s="3"/>
      <c r="W25" s="34"/>
      <c r="X25" s="34"/>
      <c r="Y25" s="34"/>
      <c r="Z25" s="34"/>
    </row>
    <row r="26" customFormat="false" ht="12.75" hidden="false" customHeight="true" outlineLevel="0" collapsed="false">
      <c r="B26" s="70"/>
      <c r="C26" s="71"/>
      <c r="W26" s="34"/>
      <c r="X26" s="34"/>
      <c r="Y26" s="34"/>
      <c r="Z26" s="34"/>
    </row>
    <row r="27" customFormat="false" ht="12.75" hidden="false" customHeight="true" outlineLevel="0" collapsed="false">
      <c r="B27" s="3"/>
      <c r="C27" s="71"/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169</v>
      </c>
      <c r="B2" s="34" t="s">
        <v>474</v>
      </c>
      <c r="W2" s="34"/>
      <c r="X2" s="34"/>
      <c r="Y2" s="34"/>
      <c r="Z2" s="34"/>
    </row>
    <row r="3" customFormat="false" ht="12.75" hidden="false" customHeight="true" outlineLevel="0" collapsed="false">
      <c r="A3" s="42" t="s">
        <v>475</v>
      </c>
      <c r="B3" s="34" t="s">
        <v>476</v>
      </c>
      <c r="W3" s="34"/>
      <c r="X3" s="34"/>
      <c r="Y3" s="34"/>
      <c r="Z3" s="34"/>
    </row>
    <row r="4" customFormat="false" ht="12.75" hidden="false" customHeight="true" outlineLevel="0" collapsed="false">
      <c r="A4" s="42" t="s">
        <v>477</v>
      </c>
      <c r="B4" s="34" t="s">
        <v>478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479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480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481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178</v>
      </c>
      <c r="B8" s="34" t="s">
        <v>425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69"/>
    <col collapsed="false" customWidth="true" hidden="false" outlineLevel="0" max="2" min="2" style="34" width="18.9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482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483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484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485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135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486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487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488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178</v>
      </c>
      <c r="B10" s="34" t="s">
        <v>425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92</v>
      </c>
      <c r="B11" s="34" t="s">
        <v>92</v>
      </c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5.72"/>
    <col collapsed="false" customWidth="true" hidden="false" outlineLevel="0" max="2" min="2" style="34" width="18.49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417</v>
      </c>
      <c r="B1" s="65"/>
      <c r="C1" s="62" t="s">
        <v>418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489</v>
      </c>
      <c r="B2" s="34" t="s">
        <v>490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491</v>
      </c>
      <c r="B3" s="42" t="s">
        <v>492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493</v>
      </c>
      <c r="B4" s="42" t="s">
        <v>494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173</v>
      </c>
      <c r="B5" s="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178</v>
      </c>
      <c r="B6" s="34" t="s">
        <v>425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92</v>
      </c>
      <c r="B7" s="34" t="s">
        <v>92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5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9.2"/>
    <col collapsed="false" customWidth="true" hidden="false" outlineLevel="0" max="2" min="2" style="34" width="30.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173</v>
      </c>
      <c r="B2" s="34" t="s">
        <v>173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495</v>
      </c>
      <c r="B3" s="34" t="s">
        <v>496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497</v>
      </c>
      <c r="B4" s="34" t="s">
        <v>498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499</v>
      </c>
      <c r="B5" s="34" t="s">
        <v>500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501</v>
      </c>
      <c r="B6" s="34" t="s">
        <v>502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178</v>
      </c>
      <c r="B7" s="34" t="s">
        <v>425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503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A24" s="3"/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1.14"/>
    <col collapsed="false" customWidth="true" hidden="false" outlineLevel="0" max="2" min="2" style="34" width="15.44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385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504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505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506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42.98"/>
    <col collapsed="false" customWidth="true" hidden="false" outlineLevel="0" max="5" min="3" style="1" width="12.86"/>
    <col collapsed="false" customWidth="true" hidden="false" outlineLevel="0" max="21" min="6" style="1" width="8.71"/>
    <col collapsed="false" customWidth="false" hidden="false" outlineLevel="0" max="16383" min="22" style="72" width="14.42"/>
    <col collapsed="false" customWidth="true" hidden="false" outlineLevel="0" max="16384" min="16384" style="72" width="11.53"/>
  </cols>
  <sheetData>
    <row r="1" customFormat="false" ht="12.75" hidden="false" customHeight="true" outlineLevel="0" collapsed="false">
      <c r="A1" s="67" t="s">
        <v>417</v>
      </c>
      <c r="B1" s="67" t="s">
        <v>5</v>
      </c>
      <c r="C1" s="68" t="s">
        <v>418</v>
      </c>
      <c r="V1" s="1"/>
      <c r="W1" s="1"/>
      <c r="X1" s="1"/>
      <c r="Y1" s="1"/>
    </row>
    <row r="2" customFormat="false" ht="12.75" hidden="false" customHeight="true" outlineLevel="0" collapsed="false">
      <c r="A2" s="1" t="s">
        <v>385</v>
      </c>
      <c r="V2" s="1"/>
      <c r="W2" s="1"/>
      <c r="X2" s="1"/>
      <c r="Y2" s="1"/>
    </row>
    <row r="3" customFormat="false" ht="12.75" hidden="false" customHeight="true" outlineLevel="0" collapsed="false">
      <c r="A3" s="1" t="s">
        <v>507</v>
      </c>
      <c r="B3" s="1" t="s">
        <v>508</v>
      </c>
      <c r="V3" s="1"/>
      <c r="W3" s="1"/>
      <c r="X3" s="1"/>
      <c r="Y3" s="1"/>
    </row>
    <row r="4" customFormat="false" ht="12.75" hidden="false" customHeight="true" outlineLevel="0" collapsed="false">
      <c r="A4" s="1" t="s">
        <v>433</v>
      </c>
      <c r="V4" s="1"/>
      <c r="W4" s="1"/>
      <c r="X4" s="1"/>
      <c r="Y4" s="1"/>
    </row>
    <row r="5" customFormat="false" ht="12.75" hidden="false" customHeight="true" outlineLevel="0" collapsed="false">
      <c r="A5" s="1" t="s">
        <v>178</v>
      </c>
      <c r="B5" s="1" t="s">
        <v>425</v>
      </c>
      <c r="V5" s="1"/>
      <c r="W5" s="1"/>
      <c r="X5" s="1"/>
      <c r="Y5" s="1"/>
    </row>
    <row r="6" customFormat="false" ht="12.75" hidden="false" customHeight="true" outlineLevel="0" collapsed="false">
      <c r="A6" s="1" t="s">
        <v>92</v>
      </c>
      <c r="B6" s="1" t="s">
        <v>92</v>
      </c>
      <c r="V6" s="1"/>
      <c r="W6" s="1"/>
      <c r="X6" s="1"/>
      <c r="Y6" s="1"/>
    </row>
    <row r="7" customFormat="false" ht="12.75" hidden="false" customHeight="true" outlineLevel="0" collapsed="false">
      <c r="V7" s="1"/>
      <c r="W7" s="1"/>
      <c r="X7" s="1"/>
      <c r="Y7" s="1"/>
    </row>
    <row r="8" customFormat="false" ht="12.75" hidden="false" customHeight="true" outlineLevel="0" collapsed="false">
      <c r="V8" s="1"/>
      <c r="W8" s="1"/>
      <c r="X8" s="1"/>
      <c r="Y8" s="1"/>
    </row>
    <row r="9" customFormat="false" ht="12.75" hidden="false" customHeight="true" outlineLevel="0" collapsed="false">
      <c r="V9" s="1"/>
      <c r="W9" s="1"/>
      <c r="X9" s="1"/>
      <c r="Y9" s="1"/>
    </row>
    <row r="10" customFormat="false" ht="12.75" hidden="false" customHeight="true" outlineLevel="0" collapsed="false">
      <c r="V10" s="1"/>
      <c r="W10" s="1"/>
      <c r="X10" s="1"/>
      <c r="Y10" s="1"/>
    </row>
    <row r="11" customFormat="false" ht="12.75" hidden="false" customHeight="true" outlineLevel="0" collapsed="false">
      <c r="V11" s="1"/>
      <c r="W11" s="1"/>
      <c r="X11" s="1"/>
      <c r="Y11" s="1"/>
    </row>
    <row r="12" customFormat="false" ht="12.75" hidden="false" customHeight="true" outlineLevel="0" collapsed="false">
      <c r="V12" s="1"/>
      <c r="W12" s="1"/>
      <c r="X12" s="1"/>
      <c r="Y12" s="1"/>
    </row>
    <row r="13" customFormat="false" ht="12.75" hidden="false" customHeight="true" outlineLevel="0" collapsed="false">
      <c r="V13" s="1"/>
      <c r="W13" s="1"/>
      <c r="X13" s="1"/>
      <c r="Y13" s="1"/>
    </row>
    <row r="14" customFormat="false" ht="12.75" hidden="false" customHeight="true" outlineLevel="0" collapsed="false">
      <c r="V14" s="1"/>
      <c r="W14" s="1"/>
      <c r="X14" s="1"/>
      <c r="Y14" s="1"/>
    </row>
    <row r="15" customFormat="false" ht="12.75" hidden="false" customHeight="true" outlineLevel="0" collapsed="false">
      <c r="V15" s="1"/>
      <c r="W15" s="1"/>
      <c r="X15" s="1"/>
      <c r="Y15" s="1"/>
    </row>
    <row r="16" customFormat="false" ht="12.75" hidden="false" customHeight="true" outlineLevel="0" collapsed="false">
      <c r="V16" s="1"/>
      <c r="W16" s="1"/>
      <c r="X16" s="1"/>
      <c r="Y16" s="1"/>
    </row>
    <row r="17" customFormat="false" ht="12.75" hidden="false" customHeight="true" outlineLevel="0" collapsed="false">
      <c r="V17" s="1"/>
      <c r="W17" s="1"/>
      <c r="X17" s="1"/>
      <c r="Y17" s="1"/>
    </row>
    <row r="18" customFormat="false" ht="12.75" hidden="false" customHeight="true" outlineLevel="0" collapsed="false">
      <c r="V18" s="1"/>
      <c r="W18" s="1"/>
      <c r="X18" s="1"/>
      <c r="Y18" s="1"/>
    </row>
    <row r="19" customFormat="false" ht="12.75" hidden="false" customHeight="true" outlineLevel="0" collapsed="false">
      <c r="V19" s="1"/>
      <c r="W19" s="1"/>
      <c r="X19" s="1"/>
      <c r="Y19" s="1"/>
    </row>
    <row r="20" customFormat="false" ht="12.75" hidden="false" customHeight="true" outlineLevel="0" collapsed="false">
      <c r="V20" s="1"/>
      <c r="W20" s="1"/>
      <c r="X20" s="1"/>
      <c r="Y20" s="1"/>
    </row>
    <row r="21" customFormat="false" ht="12.75" hidden="false" customHeight="true" outlineLevel="0" collapsed="false">
      <c r="V21" s="1"/>
      <c r="W21" s="1"/>
      <c r="X21" s="1"/>
      <c r="Y21" s="1"/>
    </row>
    <row r="22" customFormat="false" ht="12.75" hidden="false" customHeight="true" outlineLevel="0" collapsed="false">
      <c r="V22" s="1"/>
      <c r="W22" s="1"/>
      <c r="X22" s="1"/>
      <c r="Y22" s="1"/>
    </row>
    <row r="23" customFormat="false" ht="12.75" hidden="false" customHeight="true" outlineLevel="0" collapsed="false">
      <c r="V23" s="1"/>
      <c r="W23" s="1"/>
      <c r="X23" s="1"/>
      <c r="Y23" s="1"/>
    </row>
    <row r="24" customFormat="false" ht="12.75" hidden="false" customHeight="true" outlineLevel="0" collapsed="false">
      <c r="V24" s="1"/>
      <c r="W24" s="1"/>
      <c r="X24" s="1"/>
      <c r="Y24" s="1"/>
    </row>
    <row r="25" customFormat="false" ht="12.75" hidden="false" customHeight="true" outlineLevel="0" collapsed="false">
      <c r="V25" s="1"/>
      <c r="W25" s="1"/>
      <c r="X25" s="1"/>
      <c r="Y25" s="1"/>
    </row>
    <row r="26" customFormat="false" ht="12.75" hidden="false" customHeight="true" outlineLevel="0" collapsed="false">
      <c r="V26" s="1"/>
      <c r="W26" s="1"/>
      <c r="X26" s="1"/>
      <c r="Y26" s="1"/>
    </row>
    <row r="27" customFormat="false" ht="12.75" hidden="false" customHeight="true" outlineLevel="0" collapsed="false">
      <c r="V27" s="1"/>
      <c r="W27" s="1"/>
      <c r="X27" s="1"/>
      <c r="Y27" s="1"/>
    </row>
    <row r="28" customFormat="false" ht="12.75" hidden="false" customHeight="true" outlineLevel="0" collapsed="false">
      <c r="V28" s="1"/>
      <c r="W28" s="1"/>
      <c r="X28" s="1"/>
      <c r="Y28" s="1"/>
    </row>
    <row r="29" customFormat="false" ht="12.75" hidden="false" customHeight="true" outlineLevel="0" collapsed="false">
      <c r="V29" s="1"/>
      <c r="W29" s="1"/>
      <c r="X29" s="1"/>
      <c r="Y29" s="1"/>
    </row>
    <row r="30" customFormat="false" ht="12.75" hidden="false" customHeight="true" outlineLevel="0" collapsed="false">
      <c r="V30" s="1"/>
      <c r="W30" s="1"/>
      <c r="X30" s="1"/>
      <c r="Y30" s="1"/>
    </row>
    <row r="31" customFormat="false" ht="12.75" hidden="false" customHeight="true" outlineLevel="0" collapsed="false">
      <c r="V31" s="1"/>
      <c r="W31" s="1"/>
      <c r="X31" s="1"/>
      <c r="Y31" s="1"/>
    </row>
    <row r="32" customFormat="false" ht="12.75" hidden="false" customHeight="true" outlineLevel="0" collapsed="false">
      <c r="V32" s="1"/>
      <c r="W32" s="1"/>
      <c r="X32" s="1"/>
      <c r="Y32" s="1"/>
    </row>
    <row r="33" customFormat="false" ht="12.75" hidden="false" customHeight="true" outlineLevel="0" collapsed="false">
      <c r="V33" s="1"/>
      <c r="W33" s="1"/>
      <c r="X33" s="1"/>
      <c r="Y33" s="1"/>
    </row>
    <row r="34" customFormat="false" ht="12.75" hidden="false" customHeight="true" outlineLevel="0" collapsed="false">
      <c r="V34" s="1"/>
      <c r="W34" s="1"/>
      <c r="X34" s="1"/>
      <c r="Y34" s="1"/>
    </row>
    <row r="35" customFormat="false" ht="12.75" hidden="false" customHeight="true" outlineLevel="0" collapsed="false">
      <c r="V35" s="1"/>
      <c r="W35" s="1"/>
      <c r="X35" s="1"/>
      <c r="Y35" s="1"/>
    </row>
    <row r="36" customFormat="false" ht="12.75" hidden="false" customHeight="true" outlineLevel="0" collapsed="false">
      <c r="V36" s="1"/>
      <c r="W36" s="1"/>
      <c r="X36" s="1"/>
      <c r="Y36" s="1"/>
    </row>
    <row r="37" customFormat="false" ht="12.75" hidden="false" customHeight="true" outlineLevel="0" collapsed="false">
      <c r="V37" s="1"/>
      <c r="W37" s="1"/>
      <c r="X37" s="1"/>
      <c r="Y37" s="1"/>
    </row>
    <row r="38" customFormat="false" ht="12.75" hidden="false" customHeight="true" outlineLevel="0" collapsed="false">
      <c r="V38" s="1"/>
      <c r="W38" s="1"/>
      <c r="X38" s="1"/>
      <c r="Y38" s="1"/>
    </row>
    <row r="39" customFormat="false" ht="12.75" hidden="false" customHeight="true" outlineLevel="0" collapsed="false">
      <c r="V39" s="1"/>
      <c r="W39" s="1"/>
      <c r="X39" s="1"/>
      <c r="Y39" s="1"/>
    </row>
    <row r="40" customFormat="false" ht="12.75" hidden="false" customHeight="true" outlineLevel="0" collapsed="false">
      <c r="V40" s="1"/>
      <c r="W40" s="1"/>
      <c r="X40" s="1"/>
      <c r="Y40" s="1"/>
    </row>
    <row r="41" customFormat="false" ht="12.75" hidden="false" customHeight="true" outlineLevel="0" collapsed="false">
      <c r="V41" s="1"/>
      <c r="W41" s="1"/>
      <c r="X41" s="1"/>
      <c r="Y41" s="1"/>
    </row>
    <row r="42" customFormat="false" ht="12.75" hidden="false" customHeight="true" outlineLevel="0" collapsed="false">
      <c r="V42" s="1"/>
      <c r="W42" s="1"/>
      <c r="X42" s="1"/>
      <c r="Y42" s="1"/>
    </row>
    <row r="43" customFormat="false" ht="12.75" hidden="false" customHeight="true" outlineLevel="0" collapsed="false">
      <c r="V43" s="1"/>
      <c r="W43" s="1"/>
      <c r="X43" s="1"/>
      <c r="Y43" s="1"/>
    </row>
    <row r="44" customFormat="false" ht="12.75" hidden="false" customHeight="true" outlineLevel="0" collapsed="false">
      <c r="V44" s="1"/>
      <c r="W44" s="1"/>
      <c r="X44" s="1"/>
      <c r="Y44" s="1"/>
    </row>
    <row r="45" customFormat="false" ht="12.75" hidden="false" customHeight="true" outlineLevel="0" collapsed="false">
      <c r="V45" s="1"/>
      <c r="W45" s="1"/>
      <c r="X45" s="1"/>
      <c r="Y45" s="1"/>
    </row>
    <row r="46" customFormat="false" ht="12.75" hidden="false" customHeight="true" outlineLevel="0" collapsed="false">
      <c r="V46" s="1"/>
      <c r="W46" s="1"/>
      <c r="X46" s="1"/>
      <c r="Y46" s="1"/>
    </row>
    <row r="47" customFormat="false" ht="12.75" hidden="false" customHeight="true" outlineLevel="0" collapsed="false">
      <c r="V47" s="1"/>
      <c r="W47" s="1"/>
      <c r="X47" s="1"/>
      <c r="Y47" s="1"/>
    </row>
    <row r="48" customFormat="false" ht="12.75" hidden="false" customHeight="true" outlineLevel="0" collapsed="false">
      <c r="V48" s="1"/>
      <c r="W48" s="1"/>
      <c r="X48" s="1"/>
      <c r="Y48" s="1"/>
    </row>
    <row r="49" customFormat="false" ht="12.75" hidden="false" customHeight="true" outlineLevel="0" collapsed="false">
      <c r="V49" s="1"/>
      <c r="W49" s="1"/>
      <c r="X49" s="1"/>
      <c r="Y49" s="1"/>
    </row>
    <row r="50" customFormat="false" ht="12.75" hidden="false" customHeight="true" outlineLevel="0" collapsed="false">
      <c r="V50" s="1"/>
      <c r="W50" s="1"/>
      <c r="X50" s="1"/>
      <c r="Y50" s="1"/>
    </row>
    <row r="51" customFormat="false" ht="12.75" hidden="false" customHeight="true" outlineLevel="0" collapsed="false">
      <c r="V51" s="1"/>
      <c r="W51" s="1"/>
      <c r="X51" s="1"/>
      <c r="Y51" s="1"/>
    </row>
    <row r="52" customFormat="false" ht="12.75" hidden="false" customHeight="true" outlineLevel="0" collapsed="false">
      <c r="V52" s="1"/>
      <c r="W52" s="1"/>
      <c r="X52" s="1"/>
      <c r="Y52" s="1"/>
    </row>
    <row r="53" customFormat="false" ht="12.75" hidden="false" customHeight="true" outlineLevel="0" collapsed="false">
      <c r="V53" s="1"/>
      <c r="W53" s="1"/>
      <c r="X53" s="1"/>
      <c r="Y53" s="1"/>
    </row>
    <row r="54" customFormat="false" ht="12.75" hidden="false" customHeight="true" outlineLevel="0" collapsed="false">
      <c r="V54" s="1"/>
      <c r="W54" s="1"/>
      <c r="X54" s="1"/>
      <c r="Y54" s="1"/>
    </row>
    <row r="55" customFormat="false" ht="12.75" hidden="false" customHeight="true" outlineLevel="0" collapsed="false">
      <c r="V55" s="1"/>
      <c r="W55" s="1"/>
      <c r="X55" s="1"/>
      <c r="Y55" s="1"/>
    </row>
    <row r="56" customFormat="false" ht="12.75" hidden="false" customHeight="true" outlineLevel="0" collapsed="false">
      <c r="V56" s="1"/>
      <c r="W56" s="1"/>
      <c r="X56" s="1"/>
      <c r="Y56" s="1"/>
    </row>
    <row r="57" customFormat="false" ht="12.75" hidden="false" customHeight="true" outlineLevel="0" collapsed="false">
      <c r="V57" s="1"/>
      <c r="W57" s="1"/>
      <c r="X57" s="1"/>
      <c r="Y57" s="1"/>
    </row>
    <row r="58" customFormat="false" ht="12.75" hidden="false" customHeight="true" outlineLevel="0" collapsed="false">
      <c r="V58" s="1"/>
      <c r="W58" s="1"/>
      <c r="X58" s="1"/>
      <c r="Y58" s="1"/>
    </row>
    <row r="59" customFormat="false" ht="12.75" hidden="false" customHeight="true" outlineLevel="0" collapsed="false">
      <c r="V59" s="1"/>
      <c r="W59" s="1"/>
      <c r="X59" s="1"/>
      <c r="Y59" s="1"/>
    </row>
    <row r="60" customFormat="false" ht="12.75" hidden="false" customHeight="true" outlineLevel="0" collapsed="false">
      <c r="V60" s="1"/>
      <c r="W60" s="1"/>
      <c r="X60" s="1"/>
      <c r="Y60" s="1"/>
    </row>
    <row r="61" customFormat="false" ht="12.75" hidden="false" customHeight="true" outlineLevel="0" collapsed="false">
      <c r="V61" s="1"/>
      <c r="W61" s="1"/>
      <c r="X61" s="1"/>
      <c r="Y61" s="1"/>
    </row>
    <row r="62" customFormat="false" ht="12.75" hidden="false" customHeight="true" outlineLevel="0" collapsed="false">
      <c r="V62" s="1"/>
      <c r="W62" s="1"/>
      <c r="X62" s="1"/>
      <c r="Y62" s="1"/>
    </row>
    <row r="63" customFormat="false" ht="12.75" hidden="false" customHeight="true" outlineLevel="0" collapsed="false">
      <c r="V63" s="1"/>
      <c r="W63" s="1"/>
      <c r="X63" s="1"/>
      <c r="Y63" s="1"/>
    </row>
    <row r="64" customFormat="false" ht="12.75" hidden="false" customHeight="true" outlineLevel="0" collapsed="false">
      <c r="V64" s="1"/>
      <c r="W64" s="1"/>
      <c r="X64" s="1"/>
      <c r="Y64" s="1"/>
    </row>
    <row r="65" customFormat="false" ht="12.75" hidden="false" customHeight="true" outlineLevel="0" collapsed="false">
      <c r="V65" s="1"/>
      <c r="W65" s="1"/>
      <c r="X65" s="1"/>
      <c r="Y65" s="1"/>
    </row>
    <row r="66" customFormat="false" ht="12.75" hidden="false" customHeight="true" outlineLevel="0" collapsed="false">
      <c r="V66" s="1"/>
      <c r="W66" s="1"/>
      <c r="X66" s="1"/>
      <c r="Y66" s="1"/>
    </row>
    <row r="67" customFormat="false" ht="12.75" hidden="false" customHeight="true" outlineLevel="0" collapsed="false">
      <c r="V67" s="1"/>
      <c r="W67" s="1"/>
      <c r="X67" s="1"/>
      <c r="Y67" s="1"/>
    </row>
    <row r="68" customFormat="false" ht="12.75" hidden="false" customHeight="true" outlineLevel="0" collapsed="false">
      <c r="V68" s="1"/>
      <c r="W68" s="1"/>
      <c r="X68" s="1"/>
      <c r="Y68" s="1"/>
    </row>
    <row r="69" customFormat="false" ht="12.75" hidden="false" customHeight="true" outlineLevel="0" collapsed="false">
      <c r="V69" s="1"/>
      <c r="W69" s="1"/>
      <c r="X69" s="1"/>
      <c r="Y69" s="1"/>
    </row>
    <row r="70" customFormat="false" ht="12.75" hidden="false" customHeight="true" outlineLevel="0" collapsed="false">
      <c r="V70" s="1"/>
      <c r="W70" s="1"/>
      <c r="X70" s="1"/>
      <c r="Y70" s="1"/>
    </row>
    <row r="71" customFormat="false" ht="12.75" hidden="false" customHeight="true" outlineLevel="0" collapsed="false">
      <c r="V71" s="1"/>
      <c r="W71" s="1"/>
      <c r="X71" s="1"/>
      <c r="Y71" s="1"/>
    </row>
    <row r="72" customFormat="false" ht="12.75" hidden="false" customHeight="true" outlineLevel="0" collapsed="false">
      <c r="V72" s="1"/>
      <c r="W72" s="1"/>
      <c r="X72" s="1"/>
      <c r="Y72" s="1"/>
    </row>
    <row r="73" customFormat="false" ht="12.75" hidden="false" customHeight="true" outlineLevel="0" collapsed="false">
      <c r="V73" s="1"/>
      <c r="W73" s="1"/>
      <c r="X73" s="1"/>
      <c r="Y73" s="1"/>
    </row>
    <row r="74" customFormat="false" ht="12.75" hidden="false" customHeight="true" outlineLevel="0" collapsed="false">
      <c r="V74" s="1"/>
      <c r="W74" s="1"/>
      <c r="X74" s="1"/>
      <c r="Y74" s="1"/>
    </row>
    <row r="75" customFormat="false" ht="12.75" hidden="false" customHeight="true" outlineLevel="0" collapsed="false">
      <c r="V75" s="1"/>
      <c r="W75" s="1"/>
      <c r="X75" s="1"/>
      <c r="Y75" s="1"/>
    </row>
    <row r="76" customFormat="false" ht="12.75" hidden="false" customHeight="true" outlineLevel="0" collapsed="false">
      <c r="V76" s="1"/>
      <c r="W76" s="1"/>
      <c r="X76" s="1"/>
      <c r="Y76" s="1"/>
    </row>
    <row r="77" customFormat="false" ht="12.75" hidden="false" customHeight="true" outlineLevel="0" collapsed="false">
      <c r="V77" s="1"/>
      <c r="W77" s="1"/>
      <c r="X77" s="1"/>
      <c r="Y77" s="1"/>
    </row>
    <row r="78" customFormat="false" ht="12.75" hidden="false" customHeight="true" outlineLevel="0" collapsed="false">
      <c r="V78" s="1"/>
      <c r="W78" s="1"/>
      <c r="X78" s="1"/>
      <c r="Y78" s="1"/>
    </row>
    <row r="79" customFormat="false" ht="12.75" hidden="false" customHeight="true" outlineLevel="0" collapsed="false">
      <c r="V79" s="1"/>
      <c r="W79" s="1"/>
      <c r="X79" s="1"/>
      <c r="Y79" s="1"/>
    </row>
    <row r="80" customFormat="false" ht="12.75" hidden="false" customHeight="true" outlineLevel="0" collapsed="false">
      <c r="V80" s="1"/>
      <c r="W80" s="1"/>
      <c r="X80" s="1"/>
      <c r="Y80" s="1"/>
    </row>
    <row r="81" customFormat="false" ht="12.75" hidden="false" customHeight="true" outlineLevel="0" collapsed="false">
      <c r="V81" s="1"/>
      <c r="W81" s="1"/>
      <c r="X81" s="1"/>
      <c r="Y81" s="1"/>
    </row>
    <row r="82" customFormat="false" ht="12.75" hidden="false" customHeight="true" outlineLevel="0" collapsed="false">
      <c r="V82" s="1"/>
      <c r="W82" s="1"/>
      <c r="X82" s="1"/>
      <c r="Y82" s="1"/>
    </row>
    <row r="83" customFormat="false" ht="12.75" hidden="false" customHeight="true" outlineLevel="0" collapsed="false">
      <c r="V83" s="1"/>
      <c r="W83" s="1"/>
      <c r="X83" s="1"/>
      <c r="Y83" s="1"/>
    </row>
    <row r="84" customFormat="false" ht="12.75" hidden="false" customHeight="true" outlineLevel="0" collapsed="false">
      <c r="V84" s="1"/>
      <c r="W84" s="1"/>
      <c r="X84" s="1"/>
      <c r="Y84" s="1"/>
    </row>
    <row r="85" customFormat="false" ht="12.75" hidden="false" customHeight="true" outlineLevel="0" collapsed="false">
      <c r="V85" s="1"/>
      <c r="W85" s="1"/>
      <c r="X85" s="1"/>
      <c r="Y85" s="1"/>
    </row>
    <row r="86" customFormat="false" ht="12.75" hidden="false" customHeight="true" outlineLevel="0" collapsed="false">
      <c r="V86" s="1"/>
      <c r="W86" s="1"/>
      <c r="X86" s="1"/>
      <c r="Y86" s="1"/>
    </row>
    <row r="87" customFormat="false" ht="12.75" hidden="false" customHeight="true" outlineLevel="0" collapsed="false">
      <c r="V87" s="1"/>
      <c r="W87" s="1"/>
      <c r="X87" s="1"/>
      <c r="Y87" s="1"/>
    </row>
    <row r="88" customFormat="false" ht="12.75" hidden="false" customHeight="true" outlineLevel="0" collapsed="false">
      <c r="V88" s="1"/>
      <c r="W88" s="1"/>
      <c r="X88" s="1"/>
      <c r="Y88" s="1"/>
    </row>
    <row r="89" customFormat="false" ht="12.75" hidden="false" customHeight="true" outlineLevel="0" collapsed="false">
      <c r="V89" s="1"/>
      <c r="W89" s="1"/>
      <c r="X89" s="1"/>
      <c r="Y89" s="1"/>
    </row>
    <row r="90" customFormat="false" ht="12.75" hidden="false" customHeight="true" outlineLevel="0" collapsed="false">
      <c r="V90" s="1"/>
      <c r="W90" s="1"/>
      <c r="X90" s="1"/>
      <c r="Y90" s="1"/>
    </row>
    <row r="91" customFormat="false" ht="12.75" hidden="false" customHeight="true" outlineLevel="0" collapsed="false">
      <c r="V91" s="1"/>
      <c r="W91" s="1"/>
      <c r="X91" s="1"/>
      <c r="Y91" s="1"/>
    </row>
    <row r="92" customFormat="false" ht="12.75" hidden="false" customHeight="true" outlineLevel="0" collapsed="false">
      <c r="V92" s="1"/>
      <c r="W92" s="1"/>
      <c r="X92" s="1"/>
      <c r="Y92" s="1"/>
    </row>
    <row r="93" customFormat="false" ht="12.75" hidden="false" customHeight="true" outlineLevel="0" collapsed="false">
      <c r="V93" s="1"/>
      <c r="W93" s="1"/>
      <c r="X93" s="1"/>
      <c r="Y93" s="1"/>
    </row>
    <row r="94" customFormat="false" ht="12.75" hidden="false" customHeight="true" outlineLevel="0" collapsed="false">
      <c r="V94" s="1"/>
      <c r="W94" s="1"/>
      <c r="X94" s="1"/>
      <c r="Y94" s="1"/>
    </row>
    <row r="95" customFormat="false" ht="12.75" hidden="false" customHeight="true" outlineLevel="0" collapsed="false">
      <c r="V95" s="1"/>
      <c r="W95" s="1"/>
      <c r="X95" s="1"/>
      <c r="Y95" s="1"/>
    </row>
    <row r="96" customFormat="false" ht="12.75" hidden="false" customHeight="true" outlineLevel="0" collapsed="false">
      <c r="V96" s="1"/>
      <c r="W96" s="1"/>
      <c r="X96" s="1"/>
      <c r="Y96" s="1"/>
    </row>
    <row r="97" customFormat="false" ht="12.75" hidden="false" customHeight="true" outlineLevel="0" collapsed="false">
      <c r="V97" s="1"/>
      <c r="W97" s="1"/>
      <c r="X97" s="1"/>
      <c r="Y97" s="1"/>
    </row>
    <row r="98" customFormat="false" ht="12.75" hidden="false" customHeight="true" outlineLevel="0" collapsed="false">
      <c r="V98" s="1"/>
      <c r="W98" s="1"/>
      <c r="X98" s="1"/>
      <c r="Y98" s="1"/>
    </row>
    <row r="99" customFormat="false" ht="12.75" hidden="false" customHeight="true" outlineLevel="0" collapsed="false">
      <c r="V99" s="1"/>
      <c r="W99" s="1"/>
      <c r="X99" s="1"/>
      <c r="Y99" s="1"/>
    </row>
    <row r="100" customFormat="false" ht="12.75" hidden="false" customHeight="true" outlineLevel="0" collapsed="false">
      <c r="V100" s="1"/>
      <c r="W100" s="1"/>
      <c r="X100" s="1"/>
      <c r="Y100" s="1"/>
    </row>
    <row r="101" customFormat="false" ht="12.75" hidden="false" customHeight="true" outlineLevel="0" collapsed="false">
      <c r="V101" s="1"/>
      <c r="W101" s="1"/>
      <c r="X101" s="1"/>
      <c r="Y101" s="1"/>
    </row>
    <row r="102" customFormat="false" ht="12.75" hidden="false" customHeight="true" outlineLevel="0" collapsed="false">
      <c r="V102" s="1"/>
      <c r="W102" s="1"/>
      <c r="X102" s="1"/>
      <c r="Y102" s="1"/>
    </row>
    <row r="103" customFormat="false" ht="12.75" hidden="false" customHeight="true" outlineLevel="0" collapsed="false">
      <c r="V103" s="1"/>
      <c r="W103" s="1"/>
      <c r="X103" s="1"/>
      <c r="Y103" s="1"/>
    </row>
    <row r="104" customFormat="false" ht="12.75" hidden="false" customHeight="true" outlineLevel="0" collapsed="false">
      <c r="V104" s="1"/>
      <c r="W104" s="1"/>
      <c r="X104" s="1"/>
      <c r="Y104" s="1"/>
    </row>
    <row r="105" customFormat="false" ht="12.75" hidden="false" customHeight="true" outlineLevel="0" collapsed="false">
      <c r="V105" s="1"/>
      <c r="W105" s="1"/>
      <c r="X105" s="1"/>
      <c r="Y105" s="1"/>
    </row>
    <row r="106" customFormat="false" ht="12.75" hidden="false" customHeight="true" outlineLevel="0" collapsed="false">
      <c r="V106" s="1"/>
      <c r="W106" s="1"/>
      <c r="X106" s="1"/>
      <c r="Y106" s="1"/>
    </row>
    <row r="107" customFormat="false" ht="12.75" hidden="false" customHeight="true" outlineLevel="0" collapsed="false">
      <c r="V107" s="1"/>
      <c r="W107" s="1"/>
      <c r="X107" s="1"/>
      <c r="Y107" s="1"/>
    </row>
    <row r="108" customFormat="false" ht="12.75" hidden="false" customHeight="true" outlineLevel="0" collapsed="false">
      <c r="V108" s="1"/>
      <c r="W108" s="1"/>
      <c r="X108" s="1"/>
      <c r="Y108" s="1"/>
    </row>
    <row r="109" customFormat="false" ht="12.75" hidden="false" customHeight="true" outlineLevel="0" collapsed="false">
      <c r="V109" s="1"/>
      <c r="W109" s="1"/>
      <c r="X109" s="1"/>
      <c r="Y109" s="1"/>
    </row>
    <row r="110" customFormat="false" ht="12.75" hidden="false" customHeight="true" outlineLevel="0" collapsed="false">
      <c r="V110" s="1"/>
      <c r="W110" s="1"/>
      <c r="X110" s="1"/>
      <c r="Y110" s="1"/>
    </row>
    <row r="111" customFormat="false" ht="12.75" hidden="false" customHeight="true" outlineLevel="0" collapsed="false">
      <c r="V111" s="1"/>
      <c r="W111" s="1"/>
      <c r="X111" s="1"/>
      <c r="Y111" s="1"/>
    </row>
    <row r="112" customFormat="false" ht="12.75" hidden="false" customHeight="true" outlineLevel="0" collapsed="false">
      <c r="V112" s="1"/>
      <c r="W112" s="1"/>
      <c r="X112" s="1"/>
      <c r="Y112" s="1"/>
    </row>
    <row r="113" customFormat="false" ht="12.75" hidden="false" customHeight="true" outlineLevel="0" collapsed="false">
      <c r="V113" s="1"/>
      <c r="W113" s="1"/>
      <c r="X113" s="1"/>
      <c r="Y113" s="1"/>
    </row>
    <row r="114" customFormat="false" ht="12.75" hidden="false" customHeight="true" outlineLevel="0" collapsed="false">
      <c r="V114" s="1"/>
      <c r="W114" s="1"/>
      <c r="X114" s="1"/>
      <c r="Y114" s="1"/>
    </row>
    <row r="115" customFormat="false" ht="12.75" hidden="false" customHeight="true" outlineLevel="0" collapsed="false">
      <c r="V115" s="1"/>
      <c r="W115" s="1"/>
      <c r="X115" s="1"/>
      <c r="Y115" s="1"/>
    </row>
    <row r="116" customFormat="false" ht="12.75" hidden="false" customHeight="true" outlineLevel="0" collapsed="false">
      <c r="V116" s="1"/>
      <c r="W116" s="1"/>
      <c r="X116" s="1"/>
      <c r="Y116" s="1"/>
    </row>
    <row r="117" customFormat="false" ht="12.75" hidden="false" customHeight="true" outlineLevel="0" collapsed="false">
      <c r="V117" s="1"/>
      <c r="W117" s="1"/>
      <c r="X117" s="1"/>
      <c r="Y117" s="1"/>
    </row>
    <row r="118" customFormat="false" ht="12.75" hidden="false" customHeight="true" outlineLevel="0" collapsed="false">
      <c r="V118" s="1"/>
      <c r="W118" s="1"/>
      <c r="X118" s="1"/>
      <c r="Y118" s="1"/>
    </row>
    <row r="119" customFormat="false" ht="12.75" hidden="false" customHeight="true" outlineLevel="0" collapsed="false">
      <c r="V119" s="1"/>
      <c r="W119" s="1"/>
      <c r="X119" s="1"/>
      <c r="Y119" s="1"/>
    </row>
    <row r="120" customFormat="false" ht="12.75" hidden="false" customHeight="true" outlineLevel="0" collapsed="false">
      <c r="V120" s="1"/>
      <c r="W120" s="1"/>
      <c r="X120" s="1"/>
      <c r="Y120" s="1"/>
    </row>
    <row r="121" customFormat="false" ht="12.75" hidden="false" customHeight="true" outlineLevel="0" collapsed="false">
      <c r="V121" s="1"/>
      <c r="W121" s="1"/>
      <c r="X121" s="1"/>
      <c r="Y121" s="1"/>
    </row>
    <row r="122" customFormat="false" ht="12.75" hidden="false" customHeight="true" outlineLevel="0" collapsed="false">
      <c r="V122" s="1"/>
      <c r="W122" s="1"/>
      <c r="X122" s="1"/>
      <c r="Y122" s="1"/>
    </row>
    <row r="123" customFormat="false" ht="12.75" hidden="false" customHeight="true" outlineLevel="0" collapsed="false">
      <c r="V123" s="1"/>
      <c r="W123" s="1"/>
      <c r="X123" s="1"/>
      <c r="Y123" s="1"/>
    </row>
    <row r="124" customFormat="false" ht="12.75" hidden="false" customHeight="true" outlineLevel="0" collapsed="false">
      <c r="V124" s="1"/>
      <c r="W124" s="1"/>
      <c r="X124" s="1"/>
      <c r="Y124" s="1"/>
    </row>
    <row r="125" customFormat="false" ht="12.75" hidden="false" customHeight="true" outlineLevel="0" collapsed="false">
      <c r="V125" s="1"/>
      <c r="W125" s="1"/>
      <c r="X125" s="1"/>
      <c r="Y125" s="1"/>
    </row>
    <row r="126" customFormat="false" ht="12.75" hidden="false" customHeight="true" outlineLevel="0" collapsed="false">
      <c r="V126" s="1"/>
      <c r="W126" s="1"/>
      <c r="X126" s="1"/>
      <c r="Y126" s="1"/>
    </row>
    <row r="127" customFormat="false" ht="12.75" hidden="false" customHeight="true" outlineLevel="0" collapsed="false">
      <c r="V127" s="1"/>
      <c r="W127" s="1"/>
      <c r="X127" s="1"/>
      <c r="Y127" s="1"/>
    </row>
    <row r="128" customFormat="false" ht="12.75" hidden="false" customHeight="true" outlineLevel="0" collapsed="false">
      <c r="V128" s="1"/>
      <c r="W128" s="1"/>
      <c r="X128" s="1"/>
      <c r="Y128" s="1"/>
    </row>
    <row r="129" customFormat="false" ht="12.75" hidden="false" customHeight="true" outlineLevel="0" collapsed="false">
      <c r="V129" s="1"/>
      <c r="W129" s="1"/>
      <c r="X129" s="1"/>
      <c r="Y129" s="1"/>
    </row>
    <row r="130" customFormat="false" ht="12.75" hidden="false" customHeight="true" outlineLevel="0" collapsed="false">
      <c r="V130" s="1"/>
      <c r="W130" s="1"/>
      <c r="X130" s="1"/>
      <c r="Y130" s="1"/>
    </row>
    <row r="131" customFormat="false" ht="12.75" hidden="false" customHeight="true" outlineLevel="0" collapsed="false">
      <c r="V131" s="1"/>
      <c r="W131" s="1"/>
      <c r="X131" s="1"/>
      <c r="Y131" s="1"/>
    </row>
    <row r="132" customFormat="false" ht="12.75" hidden="false" customHeight="true" outlineLevel="0" collapsed="false">
      <c r="V132" s="1"/>
      <c r="W132" s="1"/>
      <c r="X132" s="1"/>
      <c r="Y132" s="1"/>
    </row>
    <row r="133" customFormat="false" ht="12.75" hidden="false" customHeight="true" outlineLevel="0" collapsed="false">
      <c r="V133" s="1"/>
      <c r="W133" s="1"/>
      <c r="X133" s="1"/>
      <c r="Y133" s="1"/>
    </row>
    <row r="134" customFormat="false" ht="12.75" hidden="false" customHeight="true" outlineLevel="0" collapsed="false">
      <c r="V134" s="1"/>
      <c r="W134" s="1"/>
      <c r="X134" s="1"/>
      <c r="Y134" s="1"/>
    </row>
    <row r="135" customFormat="false" ht="12.75" hidden="false" customHeight="true" outlineLevel="0" collapsed="false">
      <c r="V135" s="1"/>
      <c r="W135" s="1"/>
      <c r="X135" s="1"/>
      <c r="Y135" s="1"/>
    </row>
    <row r="136" customFormat="false" ht="12.75" hidden="false" customHeight="true" outlineLevel="0" collapsed="false">
      <c r="V136" s="1"/>
      <c r="W136" s="1"/>
      <c r="X136" s="1"/>
      <c r="Y136" s="1"/>
    </row>
    <row r="137" customFormat="false" ht="12.75" hidden="false" customHeight="true" outlineLevel="0" collapsed="false">
      <c r="V137" s="1"/>
      <c r="W137" s="1"/>
      <c r="X137" s="1"/>
      <c r="Y137" s="1"/>
    </row>
    <row r="138" customFormat="false" ht="12.75" hidden="false" customHeight="true" outlineLevel="0" collapsed="false">
      <c r="V138" s="1"/>
      <c r="W138" s="1"/>
      <c r="X138" s="1"/>
      <c r="Y138" s="1"/>
    </row>
    <row r="139" customFormat="false" ht="12.75" hidden="false" customHeight="true" outlineLevel="0" collapsed="false">
      <c r="V139" s="1"/>
      <c r="W139" s="1"/>
      <c r="X139" s="1"/>
      <c r="Y139" s="1"/>
    </row>
    <row r="140" customFormat="false" ht="12.75" hidden="false" customHeight="true" outlineLevel="0" collapsed="false">
      <c r="V140" s="1"/>
      <c r="W140" s="1"/>
      <c r="X140" s="1"/>
      <c r="Y140" s="1"/>
    </row>
    <row r="141" customFormat="false" ht="12.75" hidden="false" customHeight="true" outlineLevel="0" collapsed="false">
      <c r="V141" s="1"/>
      <c r="W141" s="1"/>
      <c r="X141" s="1"/>
      <c r="Y141" s="1"/>
    </row>
    <row r="142" customFormat="false" ht="12.75" hidden="false" customHeight="true" outlineLevel="0" collapsed="false">
      <c r="V142" s="1"/>
      <c r="W142" s="1"/>
      <c r="X142" s="1"/>
      <c r="Y142" s="1"/>
    </row>
    <row r="143" customFormat="false" ht="12.75" hidden="false" customHeight="true" outlineLevel="0" collapsed="false">
      <c r="V143" s="1"/>
      <c r="W143" s="1"/>
      <c r="X143" s="1"/>
      <c r="Y143" s="1"/>
    </row>
    <row r="144" customFormat="false" ht="12.75" hidden="false" customHeight="true" outlineLevel="0" collapsed="false">
      <c r="V144" s="1"/>
      <c r="W144" s="1"/>
      <c r="X144" s="1"/>
      <c r="Y144" s="1"/>
    </row>
    <row r="145" customFormat="false" ht="12.75" hidden="false" customHeight="true" outlineLevel="0" collapsed="false">
      <c r="V145" s="1"/>
      <c r="W145" s="1"/>
      <c r="X145" s="1"/>
      <c r="Y145" s="1"/>
    </row>
    <row r="146" customFormat="false" ht="12.75" hidden="false" customHeight="true" outlineLevel="0" collapsed="false">
      <c r="V146" s="1"/>
      <c r="W146" s="1"/>
      <c r="X146" s="1"/>
      <c r="Y146" s="1"/>
    </row>
    <row r="147" customFormat="false" ht="12.75" hidden="false" customHeight="true" outlineLevel="0" collapsed="false">
      <c r="V147" s="1"/>
      <c r="W147" s="1"/>
      <c r="X147" s="1"/>
      <c r="Y147" s="1"/>
    </row>
    <row r="148" customFormat="false" ht="12.75" hidden="false" customHeight="true" outlineLevel="0" collapsed="false">
      <c r="V148" s="1"/>
      <c r="W148" s="1"/>
      <c r="X148" s="1"/>
      <c r="Y148" s="1"/>
    </row>
    <row r="149" customFormat="false" ht="12.75" hidden="false" customHeight="true" outlineLevel="0" collapsed="false">
      <c r="V149" s="1"/>
      <c r="W149" s="1"/>
      <c r="X149" s="1"/>
      <c r="Y149" s="1"/>
    </row>
    <row r="150" customFormat="false" ht="12.75" hidden="false" customHeight="true" outlineLevel="0" collapsed="false">
      <c r="V150" s="1"/>
      <c r="W150" s="1"/>
      <c r="X150" s="1"/>
      <c r="Y150" s="1"/>
    </row>
    <row r="151" customFormat="false" ht="12.75" hidden="false" customHeight="true" outlineLevel="0" collapsed="false">
      <c r="V151" s="1"/>
      <c r="W151" s="1"/>
      <c r="X151" s="1"/>
      <c r="Y151" s="1"/>
    </row>
    <row r="152" customFormat="false" ht="12.75" hidden="false" customHeight="true" outlineLevel="0" collapsed="false">
      <c r="V152" s="1"/>
      <c r="W152" s="1"/>
      <c r="X152" s="1"/>
      <c r="Y152" s="1"/>
    </row>
    <row r="153" customFormat="false" ht="12.75" hidden="false" customHeight="true" outlineLevel="0" collapsed="false">
      <c r="V153" s="1"/>
      <c r="W153" s="1"/>
      <c r="X153" s="1"/>
      <c r="Y153" s="1"/>
    </row>
    <row r="154" customFormat="false" ht="12.75" hidden="false" customHeight="true" outlineLevel="0" collapsed="false">
      <c r="V154" s="1"/>
      <c r="W154" s="1"/>
      <c r="X154" s="1"/>
      <c r="Y154" s="1"/>
    </row>
    <row r="155" customFormat="false" ht="12.75" hidden="false" customHeight="true" outlineLevel="0" collapsed="false">
      <c r="V155" s="1"/>
      <c r="W155" s="1"/>
      <c r="X155" s="1"/>
      <c r="Y155" s="1"/>
    </row>
    <row r="156" customFormat="false" ht="12.75" hidden="false" customHeight="true" outlineLevel="0" collapsed="false">
      <c r="V156" s="1"/>
      <c r="W156" s="1"/>
      <c r="X156" s="1"/>
      <c r="Y156" s="1"/>
    </row>
    <row r="157" customFormat="false" ht="12.75" hidden="false" customHeight="true" outlineLevel="0" collapsed="false">
      <c r="V157" s="1"/>
      <c r="W157" s="1"/>
      <c r="X157" s="1"/>
      <c r="Y157" s="1"/>
    </row>
    <row r="158" customFormat="false" ht="12.75" hidden="false" customHeight="true" outlineLevel="0" collapsed="false">
      <c r="V158" s="1"/>
      <c r="W158" s="1"/>
      <c r="X158" s="1"/>
      <c r="Y158" s="1"/>
    </row>
    <row r="159" customFormat="false" ht="12.75" hidden="false" customHeight="true" outlineLevel="0" collapsed="false">
      <c r="V159" s="1"/>
      <c r="W159" s="1"/>
      <c r="X159" s="1"/>
      <c r="Y159" s="1"/>
    </row>
    <row r="160" customFormat="false" ht="12.75" hidden="false" customHeight="true" outlineLevel="0" collapsed="false">
      <c r="V160" s="1"/>
      <c r="W160" s="1"/>
      <c r="X160" s="1"/>
      <c r="Y160" s="1"/>
    </row>
    <row r="161" customFormat="false" ht="12.75" hidden="false" customHeight="true" outlineLevel="0" collapsed="false">
      <c r="V161" s="1"/>
      <c r="W161" s="1"/>
      <c r="X161" s="1"/>
      <c r="Y161" s="1"/>
    </row>
    <row r="162" customFormat="false" ht="12.75" hidden="false" customHeight="true" outlineLevel="0" collapsed="false">
      <c r="V162" s="1"/>
      <c r="W162" s="1"/>
      <c r="X162" s="1"/>
      <c r="Y162" s="1"/>
    </row>
    <row r="163" customFormat="false" ht="12.75" hidden="false" customHeight="true" outlineLevel="0" collapsed="false">
      <c r="V163" s="1"/>
      <c r="W163" s="1"/>
      <c r="X163" s="1"/>
      <c r="Y163" s="1"/>
    </row>
    <row r="164" customFormat="false" ht="12.75" hidden="false" customHeight="true" outlineLevel="0" collapsed="false">
      <c r="V164" s="1"/>
      <c r="W164" s="1"/>
      <c r="X164" s="1"/>
      <c r="Y164" s="1"/>
    </row>
    <row r="165" customFormat="false" ht="12.75" hidden="false" customHeight="true" outlineLevel="0" collapsed="false">
      <c r="V165" s="1"/>
      <c r="W165" s="1"/>
      <c r="X165" s="1"/>
      <c r="Y165" s="1"/>
    </row>
    <row r="166" customFormat="false" ht="12.75" hidden="false" customHeight="true" outlineLevel="0" collapsed="false">
      <c r="V166" s="1"/>
      <c r="W166" s="1"/>
      <c r="X166" s="1"/>
      <c r="Y166" s="1"/>
    </row>
    <row r="167" customFormat="false" ht="12.75" hidden="false" customHeight="true" outlineLevel="0" collapsed="false">
      <c r="V167" s="1"/>
      <c r="W167" s="1"/>
      <c r="X167" s="1"/>
      <c r="Y167" s="1"/>
    </row>
    <row r="168" customFormat="false" ht="12.75" hidden="false" customHeight="true" outlineLevel="0" collapsed="false">
      <c r="V168" s="1"/>
      <c r="W168" s="1"/>
      <c r="X168" s="1"/>
      <c r="Y168" s="1"/>
    </row>
    <row r="169" customFormat="false" ht="12.75" hidden="false" customHeight="true" outlineLevel="0" collapsed="false">
      <c r="V169" s="1"/>
      <c r="W169" s="1"/>
      <c r="X169" s="1"/>
      <c r="Y169" s="1"/>
    </row>
    <row r="170" customFormat="false" ht="12.75" hidden="false" customHeight="true" outlineLevel="0" collapsed="false">
      <c r="V170" s="1"/>
      <c r="W170" s="1"/>
      <c r="X170" s="1"/>
      <c r="Y170" s="1"/>
    </row>
    <row r="171" customFormat="false" ht="12.75" hidden="false" customHeight="true" outlineLevel="0" collapsed="false">
      <c r="V171" s="1"/>
      <c r="W171" s="1"/>
      <c r="X171" s="1"/>
      <c r="Y171" s="1"/>
    </row>
    <row r="172" customFormat="false" ht="12.75" hidden="false" customHeight="true" outlineLevel="0" collapsed="false">
      <c r="V172" s="1"/>
      <c r="W172" s="1"/>
      <c r="X172" s="1"/>
      <c r="Y172" s="1"/>
    </row>
    <row r="173" customFormat="false" ht="12.75" hidden="false" customHeight="true" outlineLevel="0" collapsed="false">
      <c r="V173" s="1"/>
      <c r="W173" s="1"/>
      <c r="X173" s="1"/>
      <c r="Y173" s="1"/>
    </row>
    <row r="174" customFormat="false" ht="12.75" hidden="false" customHeight="true" outlineLevel="0" collapsed="false">
      <c r="V174" s="1"/>
      <c r="W174" s="1"/>
      <c r="X174" s="1"/>
      <c r="Y174" s="1"/>
    </row>
    <row r="175" customFormat="false" ht="12.75" hidden="false" customHeight="true" outlineLevel="0" collapsed="false">
      <c r="V175" s="1"/>
      <c r="W175" s="1"/>
      <c r="X175" s="1"/>
      <c r="Y175" s="1"/>
    </row>
    <row r="176" customFormat="false" ht="12.75" hidden="false" customHeight="true" outlineLevel="0" collapsed="false">
      <c r="V176" s="1"/>
      <c r="W176" s="1"/>
      <c r="X176" s="1"/>
      <c r="Y176" s="1"/>
    </row>
    <row r="177" customFormat="false" ht="12.75" hidden="false" customHeight="true" outlineLevel="0" collapsed="false">
      <c r="V177" s="1"/>
      <c r="W177" s="1"/>
      <c r="X177" s="1"/>
      <c r="Y177" s="1"/>
    </row>
    <row r="178" customFormat="false" ht="12.75" hidden="false" customHeight="true" outlineLevel="0" collapsed="false">
      <c r="V178" s="1"/>
      <c r="W178" s="1"/>
      <c r="X178" s="1"/>
      <c r="Y178" s="1"/>
    </row>
    <row r="179" customFormat="false" ht="12.75" hidden="false" customHeight="true" outlineLevel="0" collapsed="false">
      <c r="V179" s="1"/>
      <c r="W179" s="1"/>
      <c r="X179" s="1"/>
      <c r="Y179" s="1"/>
    </row>
    <row r="180" customFormat="false" ht="12.75" hidden="false" customHeight="true" outlineLevel="0" collapsed="false">
      <c r="V180" s="1"/>
      <c r="W180" s="1"/>
      <c r="X180" s="1"/>
      <c r="Y180" s="1"/>
    </row>
    <row r="181" customFormat="false" ht="12.75" hidden="false" customHeight="true" outlineLevel="0" collapsed="false">
      <c r="V181" s="1"/>
      <c r="W181" s="1"/>
      <c r="X181" s="1"/>
      <c r="Y181" s="1"/>
    </row>
    <row r="182" customFormat="false" ht="12.75" hidden="false" customHeight="true" outlineLevel="0" collapsed="false">
      <c r="V182" s="1"/>
      <c r="W182" s="1"/>
      <c r="X182" s="1"/>
      <c r="Y182" s="1"/>
    </row>
    <row r="183" customFormat="false" ht="12.75" hidden="false" customHeight="true" outlineLevel="0" collapsed="false">
      <c r="V183" s="1"/>
      <c r="W183" s="1"/>
      <c r="X183" s="1"/>
      <c r="Y183" s="1"/>
    </row>
    <row r="184" customFormat="false" ht="12.75" hidden="false" customHeight="true" outlineLevel="0" collapsed="false">
      <c r="V184" s="1"/>
      <c r="W184" s="1"/>
      <c r="X184" s="1"/>
      <c r="Y184" s="1"/>
    </row>
    <row r="185" customFormat="false" ht="12.75" hidden="false" customHeight="true" outlineLevel="0" collapsed="false">
      <c r="V185" s="1"/>
      <c r="W185" s="1"/>
      <c r="X185" s="1"/>
      <c r="Y185" s="1"/>
    </row>
    <row r="186" customFormat="false" ht="12.75" hidden="false" customHeight="true" outlineLevel="0" collapsed="false">
      <c r="V186" s="1"/>
      <c r="W186" s="1"/>
      <c r="X186" s="1"/>
      <c r="Y186" s="1"/>
    </row>
    <row r="187" customFormat="false" ht="12.75" hidden="false" customHeight="true" outlineLevel="0" collapsed="false">
      <c r="V187" s="1"/>
      <c r="W187" s="1"/>
      <c r="X187" s="1"/>
      <c r="Y187" s="1"/>
    </row>
    <row r="188" customFormat="false" ht="12.75" hidden="false" customHeight="true" outlineLevel="0" collapsed="false">
      <c r="V188" s="1"/>
      <c r="W188" s="1"/>
      <c r="X188" s="1"/>
      <c r="Y188" s="1"/>
    </row>
    <row r="189" customFormat="false" ht="12.75" hidden="false" customHeight="true" outlineLevel="0" collapsed="false">
      <c r="V189" s="1"/>
      <c r="W189" s="1"/>
      <c r="X189" s="1"/>
      <c r="Y189" s="1"/>
    </row>
    <row r="190" customFormat="false" ht="12.75" hidden="false" customHeight="true" outlineLevel="0" collapsed="false">
      <c r="V190" s="1"/>
      <c r="W190" s="1"/>
      <c r="X190" s="1"/>
      <c r="Y190" s="1"/>
    </row>
    <row r="191" customFormat="false" ht="12.75" hidden="false" customHeight="true" outlineLevel="0" collapsed="false">
      <c r="V191" s="1"/>
      <c r="W191" s="1"/>
      <c r="X191" s="1"/>
      <c r="Y191" s="1"/>
    </row>
    <row r="192" customFormat="false" ht="12.75" hidden="false" customHeight="true" outlineLevel="0" collapsed="false">
      <c r="V192" s="1"/>
      <c r="W192" s="1"/>
      <c r="X192" s="1"/>
      <c r="Y192" s="1"/>
    </row>
    <row r="193" customFormat="false" ht="12.75" hidden="false" customHeight="true" outlineLevel="0" collapsed="false">
      <c r="V193" s="1"/>
      <c r="W193" s="1"/>
      <c r="X193" s="1"/>
      <c r="Y193" s="1"/>
    </row>
    <row r="194" customFormat="false" ht="12.75" hidden="false" customHeight="true" outlineLevel="0" collapsed="false">
      <c r="V194" s="1"/>
      <c r="W194" s="1"/>
      <c r="X194" s="1"/>
      <c r="Y194" s="1"/>
    </row>
    <row r="195" customFormat="false" ht="12.75" hidden="false" customHeight="true" outlineLevel="0" collapsed="false">
      <c r="V195" s="1"/>
      <c r="W195" s="1"/>
      <c r="X195" s="1"/>
      <c r="Y195" s="1"/>
    </row>
    <row r="196" customFormat="false" ht="12.75" hidden="false" customHeight="true" outlineLevel="0" collapsed="false">
      <c r="V196" s="1"/>
      <c r="W196" s="1"/>
      <c r="X196" s="1"/>
      <c r="Y196" s="1"/>
    </row>
    <row r="197" customFormat="false" ht="12.75" hidden="false" customHeight="true" outlineLevel="0" collapsed="false">
      <c r="V197" s="1"/>
      <c r="W197" s="1"/>
      <c r="X197" s="1"/>
      <c r="Y197" s="1"/>
    </row>
    <row r="198" customFormat="false" ht="12.75" hidden="false" customHeight="true" outlineLevel="0" collapsed="false">
      <c r="V198" s="1"/>
      <c r="W198" s="1"/>
      <c r="X198" s="1"/>
      <c r="Y198" s="1"/>
    </row>
    <row r="199" customFormat="false" ht="12.75" hidden="false" customHeight="true" outlineLevel="0" collapsed="false">
      <c r="V199" s="1"/>
      <c r="W199" s="1"/>
      <c r="X199" s="1"/>
      <c r="Y199" s="1"/>
    </row>
    <row r="200" customFormat="false" ht="12.75" hidden="false" customHeight="true" outlineLevel="0" collapsed="false">
      <c r="V200" s="1"/>
      <c r="W200" s="1"/>
      <c r="X200" s="1"/>
      <c r="Y200" s="1"/>
    </row>
    <row r="201" customFormat="false" ht="12.75" hidden="false" customHeight="true" outlineLevel="0" collapsed="false">
      <c r="V201" s="1"/>
      <c r="W201" s="1"/>
      <c r="X201" s="1"/>
      <c r="Y201" s="1"/>
    </row>
    <row r="202" customFormat="false" ht="12.75" hidden="false" customHeight="true" outlineLevel="0" collapsed="false">
      <c r="V202" s="1"/>
      <c r="W202" s="1"/>
      <c r="X202" s="1"/>
      <c r="Y202" s="1"/>
    </row>
    <row r="203" customFormat="false" ht="12.75" hidden="false" customHeight="true" outlineLevel="0" collapsed="false">
      <c r="V203" s="1"/>
      <c r="W203" s="1"/>
      <c r="X203" s="1"/>
      <c r="Y203" s="1"/>
    </row>
    <row r="204" customFormat="false" ht="12.75" hidden="false" customHeight="true" outlineLevel="0" collapsed="false">
      <c r="V204" s="1"/>
      <c r="W204" s="1"/>
      <c r="X204" s="1"/>
      <c r="Y204" s="1"/>
    </row>
    <row r="205" customFormat="false" ht="12.75" hidden="false" customHeight="true" outlineLevel="0" collapsed="false">
      <c r="V205" s="1"/>
      <c r="W205" s="1"/>
      <c r="X205" s="1"/>
      <c r="Y205" s="1"/>
    </row>
    <row r="206" customFormat="false" ht="12.75" hidden="false" customHeight="true" outlineLevel="0" collapsed="false">
      <c r="V206" s="1"/>
      <c r="W206" s="1"/>
      <c r="X206" s="1"/>
      <c r="Y206" s="1"/>
    </row>
    <row r="207" customFormat="false" ht="12.75" hidden="false" customHeight="true" outlineLevel="0" collapsed="false">
      <c r="V207" s="1"/>
      <c r="W207" s="1"/>
      <c r="X207" s="1"/>
      <c r="Y207" s="1"/>
    </row>
    <row r="208" customFormat="false" ht="12.75" hidden="false" customHeight="true" outlineLevel="0" collapsed="false">
      <c r="V208" s="1"/>
      <c r="W208" s="1"/>
      <c r="X208" s="1"/>
      <c r="Y208" s="1"/>
    </row>
    <row r="209" customFormat="false" ht="12.75" hidden="false" customHeight="true" outlineLevel="0" collapsed="false">
      <c r="V209" s="1"/>
      <c r="W209" s="1"/>
      <c r="X209" s="1"/>
      <c r="Y209" s="1"/>
    </row>
    <row r="210" customFormat="false" ht="12.75" hidden="false" customHeight="true" outlineLevel="0" collapsed="false">
      <c r="V210" s="1"/>
      <c r="W210" s="1"/>
      <c r="X210" s="1"/>
      <c r="Y210" s="1"/>
    </row>
    <row r="211" customFormat="false" ht="12.75" hidden="false" customHeight="true" outlineLevel="0" collapsed="false">
      <c r="V211" s="1"/>
      <c r="W211" s="1"/>
      <c r="X211" s="1"/>
      <c r="Y211" s="1"/>
    </row>
    <row r="212" customFormat="false" ht="12.75" hidden="false" customHeight="true" outlineLevel="0" collapsed="false">
      <c r="V212" s="1"/>
      <c r="W212" s="1"/>
      <c r="X212" s="1"/>
      <c r="Y212" s="1"/>
    </row>
    <row r="213" customFormat="false" ht="12.75" hidden="false" customHeight="true" outlineLevel="0" collapsed="false">
      <c r="V213" s="1"/>
      <c r="W213" s="1"/>
      <c r="X213" s="1"/>
      <c r="Y213" s="1"/>
    </row>
    <row r="214" customFormat="false" ht="12.75" hidden="false" customHeight="true" outlineLevel="0" collapsed="false">
      <c r="V214" s="1"/>
      <c r="W214" s="1"/>
      <c r="X214" s="1"/>
      <c r="Y214" s="1"/>
    </row>
    <row r="215" customFormat="false" ht="12.75" hidden="false" customHeight="true" outlineLevel="0" collapsed="false">
      <c r="V215" s="1"/>
      <c r="W215" s="1"/>
      <c r="X215" s="1"/>
      <c r="Y215" s="1"/>
    </row>
    <row r="216" customFormat="false" ht="12.75" hidden="false" customHeight="true" outlineLevel="0" collapsed="false">
      <c r="V216" s="1"/>
      <c r="W216" s="1"/>
      <c r="X216" s="1"/>
      <c r="Y216" s="1"/>
    </row>
    <row r="217" customFormat="false" ht="12.75" hidden="false" customHeight="true" outlineLevel="0" collapsed="false">
      <c r="V217" s="1"/>
      <c r="W217" s="1"/>
      <c r="X217" s="1"/>
      <c r="Y217" s="1"/>
    </row>
    <row r="218" customFormat="false" ht="12.75" hidden="false" customHeight="true" outlineLevel="0" collapsed="false">
      <c r="V218" s="1"/>
      <c r="W218" s="1"/>
      <c r="X218" s="1"/>
      <c r="Y218" s="1"/>
    </row>
    <row r="219" customFormat="false" ht="12.75" hidden="false" customHeight="true" outlineLevel="0" collapsed="false">
      <c r="V219" s="1"/>
      <c r="W219" s="1"/>
      <c r="X219" s="1"/>
      <c r="Y219" s="1"/>
    </row>
    <row r="220" customFormat="false" ht="15.75" hidden="false" customHeight="true" outlineLevel="0" collapsed="false">
      <c r="V220" s="1"/>
      <c r="W220" s="1"/>
      <c r="X220" s="1"/>
      <c r="Y220" s="1"/>
    </row>
    <row r="221" customFormat="false" ht="15.75" hidden="false" customHeight="true" outlineLevel="0" collapsed="false">
      <c r="V221" s="1"/>
      <c r="W221" s="1"/>
      <c r="X221" s="1"/>
      <c r="Y221" s="1"/>
    </row>
    <row r="222" customFormat="false" ht="15.75" hidden="false" customHeight="true" outlineLevel="0" collapsed="false">
      <c r="V222" s="1"/>
      <c r="W222" s="1"/>
      <c r="X222" s="1"/>
      <c r="Y222" s="1"/>
    </row>
    <row r="223" customFormat="false" ht="15.75" hidden="false" customHeight="true" outlineLevel="0" collapsed="false">
      <c r="V223" s="1"/>
      <c r="W223" s="1"/>
      <c r="X223" s="1"/>
      <c r="Y223" s="1"/>
    </row>
    <row r="224" customFormat="false" ht="15.75" hidden="false" customHeight="true" outlineLevel="0" collapsed="false">
      <c r="V224" s="1"/>
      <c r="W224" s="1"/>
      <c r="X224" s="1"/>
      <c r="Y224" s="1"/>
    </row>
    <row r="225" customFormat="false" ht="15.75" hidden="false" customHeight="true" outlineLevel="0" collapsed="false">
      <c r="V225" s="1"/>
      <c r="W225" s="1"/>
      <c r="X225" s="1"/>
      <c r="Y225" s="1"/>
    </row>
    <row r="226" customFormat="false" ht="15.75" hidden="false" customHeight="true" outlineLevel="0" collapsed="false">
      <c r="V226" s="1"/>
      <c r="W226" s="1"/>
      <c r="X226" s="1"/>
      <c r="Y226" s="1"/>
    </row>
    <row r="227" customFormat="false" ht="15.75" hidden="false" customHeight="true" outlineLevel="0" collapsed="false">
      <c r="V227" s="1"/>
      <c r="W227" s="1"/>
      <c r="X227" s="1"/>
      <c r="Y227" s="1"/>
    </row>
    <row r="228" customFormat="false" ht="15.75" hidden="false" customHeight="true" outlineLevel="0" collapsed="false">
      <c r="V228" s="1"/>
      <c r="W228" s="1"/>
      <c r="X228" s="1"/>
      <c r="Y228" s="1"/>
    </row>
    <row r="229" customFormat="false" ht="15.75" hidden="false" customHeight="true" outlineLevel="0" collapsed="false">
      <c r="V229" s="1"/>
      <c r="W229" s="1"/>
      <c r="X229" s="1"/>
      <c r="Y229" s="1"/>
    </row>
    <row r="230" customFormat="false" ht="15.75" hidden="false" customHeight="true" outlineLevel="0" collapsed="false">
      <c r="V230" s="1"/>
      <c r="W230" s="1"/>
      <c r="X230" s="1"/>
      <c r="Y230" s="1"/>
    </row>
    <row r="231" customFormat="false" ht="15.75" hidden="false" customHeight="true" outlineLevel="0" collapsed="false">
      <c r="V231" s="1"/>
      <c r="W231" s="1"/>
      <c r="X231" s="1"/>
      <c r="Y231" s="1"/>
    </row>
    <row r="232" customFormat="false" ht="15.75" hidden="false" customHeight="true" outlineLevel="0" collapsed="false">
      <c r="V232" s="1"/>
      <c r="W232" s="1"/>
      <c r="X232" s="1"/>
      <c r="Y232" s="1"/>
    </row>
    <row r="233" customFormat="false" ht="15.75" hidden="false" customHeight="true" outlineLevel="0" collapsed="false">
      <c r="V233" s="1"/>
      <c r="W233" s="1"/>
      <c r="X233" s="1"/>
      <c r="Y233" s="1"/>
    </row>
    <row r="234" customFormat="false" ht="15.75" hidden="false" customHeight="true" outlineLevel="0" collapsed="false">
      <c r="V234" s="1"/>
      <c r="W234" s="1"/>
      <c r="X234" s="1"/>
      <c r="Y234" s="1"/>
    </row>
    <row r="235" customFormat="false" ht="15.75" hidden="false" customHeight="true" outlineLevel="0" collapsed="false">
      <c r="V235" s="1"/>
      <c r="W235" s="1"/>
      <c r="X235" s="1"/>
      <c r="Y235" s="1"/>
    </row>
    <row r="236" customFormat="false" ht="15.75" hidden="false" customHeight="true" outlineLevel="0" collapsed="false">
      <c r="V236" s="1"/>
      <c r="W236" s="1"/>
      <c r="X236" s="1"/>
      <c r="Y236" s="1"/>
    </row>
    <row r="237" customFormat="false" ht="15.75" hidden="false" customHeight="true" outlineLevel="0" collapsed="false">
      <c r="V237" s="1"/>
      <c r="W237" s="1"/>
      <c r="X237" s="1"/>
      <c r="Y237" s="1"/>
    </row>
    <row r="238" customFormat="false" ht="15.75" hidden="false" customHeight="true" outlineLevel="0" collapsed="false">
      <c r="V238" s="1"/>
      <c r="W238" s="1"/>
      <c r="X238" s="1"/>
      <c r="Y238" s="1"/>
    </row>
    <row r="239" customFormat="false" ht="15.75" hidden="false" customHeight="true" outlineLevel="0" collapsed="false">
      <c r="V239" s="1"/>
      <c r="W239" s="1"/>
      <c r="X239" s="1"/>
      <c r="Y239" s="1"/>
    </row>
    <row r="240" customFormat="false" ht="15.75" hidden="false" customHeight="true" outlineLevel="0" collapsed="false">
      <c r="V240" s="1"/>
      <c r="W240" s="1"/>
      <c r="X240" s="1"/>
      <c r="Y240" s="1"/>
    </row>
    <row r="241" customFormat="false" ht="15.75" hidden="false" customHeight="true" outlineLevel="0" collapsed="false">
      <c r="V241" s="1"/>
      <c r="W241" s="1"/>
      <c r="X241" s="1"/>
      <c r="Y241" s="1"/>
    </row>
    <row r="242" customFormat="false" ht="15.75" hidden="false" customHeight="true" outlineLevel="0" collapsed="false">
      <c r="V242" s="1"/>
      <c r="W242" s="1"/>
      <c r="X242" s="1"/>
      <c r="Y242" s="1"/>
    </row>
    <row r="243" customFormat="false" ht="15.75" hidden="false" customHeight="true" outlineLevel="0" collapsed="false">
      <c r="V243" s="1"/>
      <c r="W243" s="1"/>
      <c r="X243" s="1"/>
      <c r="Y243" s="1"/>
    </row>
    <row r="244" customFormat="false" ht="15.75" hidden="false" customHeight="true" outlineLevel="0" collapsed="false">
      <c r="V244" s="1"/>
      <c r="W244" s="1"/>
      <c r="X244" s="1"/>
      <c r="Y244" s="1"/>
    </row>
    <row r="245" customFormat="false" ht="15.75" hidden="false" customHeight="true" outlineLevel="0" collapsed="false">
      <c r="V245" s="1"/>
      <c r="W245" s="1"/>
      <c r="X245" s="1"/>
      <c r="Y245" s="1"/>
    </row>
    <row r="246" customFormat="false" ht="15.75" hidden="false" customHeight="true" outlineLevel="0" collapsed="false">
      <c r="V246" s="1"/>
      <c r="W246" s="1"/>
      <c r="X246" s="1"/>
      <c r="Y246" s="1"/>
    </row>
    <row r="247" customFormat="false" ht="15.75" hidden="false" customHeight="true" outlineLevel="0" collapsed="false">
      <c r="V247" s="1"/>
      <c r="W247" s="1"/>
      <c r="X247" s="1"/>
      <c r="Y247" s="1"/>
    </row>
    <row r="248" customFormat="false" ht="15.75" hidden="false" customHeight="true" outlineLevel="0" collapsed="false">
      <c r="V248" s="1"/>
      <c r="W248" s="1"/>
      <c r="X248" s="1"/>
      <c r="Y248" s="1"/>
    </row>
    <row r="249" customFormat="false" ht="15.75" hidden="false" customHeight="true" outlineLevel="0" collapsed="false">
      <c r="V249" s="1"/>
      <c r="W249" s="1"/>
      <c r="X249" s="1"/>
      <c r="Y249" s="1"/>
    </row>
    <row r="250" customFormat="false" ht="15.75" hidden="false" customHeight="true" outlineLevel="0" collapsed="false">
      <c r="V250" s="1"/>
      <c r="W250" s="1"/>
      <c r="X250" s="1"/>
      <c r="Y250" s="1"/>
    </row>
    <row r="251" customFormat="false" ht="15.75" hidden="false" customHeight="true" outlineLevel="0" collapsed="false">
      <c r="V251" s="1"/>
      <c r="W251" s="1"/>
      <c r="X251" s="1"/>
      <c r="Y251" s="1"/>
    </row>
    <row r="252" customFormat="false" ht="15.75" hidden="false" customHeight="true" outlineLevel="0" collapsed="false">
      <c r="V252" s="1"/>
      <c r="W252" s="1"/>
      <c r="X252" s="1"/>
      <c r="Y252" s="1"/>
    </row>
    <row r="253" customFormat="false" ht="15.75" hidden="false" customHeight="true" outlineLevel="0" collapsed="false">
      <c r="V253" s="1"/>
      <c r="W253" s="1"/>
      <c r="X253" s="1"/>
      <c r="Y253" s="1"/>
    </row>
    <row r="254" customFormat="false" ht="15.75" hidden="false" customHeight="true" outlineLevel="0" collapsed="false">
      <c r="V254" s="1"/>
      <c r="W254" s="1"/>
      <c r="X254" s="1"/>
      <c r="Y254" s="1"/>
    </row>
    <row r="255" customFormat="false" ht="15.75" hidden="false" customHeight="true" outlineLevel="0" collapsed="false">
      <c r="V255" s="1"/>
      <c r="W255" s="1"/>
      <c r="X255" s="1"/>
      <c r="Y255" s="1"/>
    </row>
    <row r="256" customFormat="false" ht="15.75" hidden="false" customHeight="true" outlineLevel="0" collapsed="false">
      <c r="V256" s="1"/>
      <c r="W256" s="1"/>
      <c r="X256" s="1"/>
      <c r="Y256" s="1"/>
    </row>
    <row r="257" customFormat="false" ht="15.75" hidden="false" customHeight="true" outlineLevel="0" collapsed="false">
      <c r="V257" s="1"/>
      <c r="W257" s="1"/>
      <c r="X257" s="1"/>
      <c r="Y257" s="1"/>
    </row>
    <row r="258" customFormat="false" ht="15.75" hidden="false" customHeight="true" outlineLevel="0" collapsed="false">
      <c r="V258" s="1"/>
      <c r="W258" s="1"/>
      <c r="X258" s="1"/>
      <c r="Y258" s="1"/>
    </row>
    <row r="259" customFormat="false" ht="15.75" hidden="false" customHeight="true" outlineLevel="0" collapsed="false">
      <c r="V259" s="1"/>
      <c r="W259" s="1"/>
      <c r="X259" s="1"/>
      <c r="Y259" s="1"/>
    </row>
    <row r="260" customFormat="false" ht="15.75" hidden="false" customHeight="true" outlineLevel="0" collapsed="false">
      <c r="V260" s="1"/>
      <c r="W260" s="1"/>
      <c r="X260" s="1"/>
      <c r="Y260" s="1"/>
    </row>
    <row r="261" customFormat="false" ht="15.75" hidden="false" customHeight="true" outlineLevel="0" collapsed="false">
      <c r="V261" s="1"/>
      <c r="W261" s="1"/>
      <c r="X261" s="1"/>
      <c r="Y261" s="1"/>
    </row>
    <row r="262" customFormat="false" ht="15.75" hidden="false" customHeight="true" outlineLevel="0" collapsed="false">
      <c r="V262" s="1"/>
      <c r="W262" s="1"/>
      <c r="X262" s="1"/>
      <c r="Y262" s="1"/>
    </row>
    <row r="263" customFormat="false" ht="15.75" hidden="false" customHeight="true" outlineLevel="0" collapsed="false">
      <c r="V263" s="1"/>
      <c r="W263" s="1"/>
      <c r="X263" s="1"/>
      <c r="Y263" s="1"/>
    </row>
    <row r="264" customFormat="false" ht="15.75" hidden="false" customHeight="true" outlineLevel="0" collapsed="false">
      <c r="V264" s="1"/>
      <c r="W264" s="1"/>
      <c r="X264" s="1"/>
      <c r="Y264" s="1"/>
    </row>
    <row r="265" customFormat="false" ht="15.75" hidden="false" customHeight="true" outlineLevel="0" collapsed="false">
      <c r="V265" s="1"/>
      <c r="W265" s="1"/>
      <c r="X265" s="1"/>
      <c r="Y265" s="1"/>
    </row>
    <row r="266" customFormat="false" ht="15.75" hidden="false" customHeight="true" outlineLevel="0" collapsed="false">
      <c r="V266" s="1"/>
      <c r="W266" s="1"/>
      <c r="X266" s="1"/>
      <c r="Y266" s="1"/>
    </row>
    <row r="267" customFormat="false" ht="15.75" hidden="false" customHeight="true" outlineLevel="0" collapsed="false">
      <c r="V267" s="1"/>
      <c r="W267" s="1"/>
      <c r="X267" s="1"/>
      <c r="Y267" s="1"/>
    </row>
    <row r="268" customFormat="false" ht="15.75" hidden="false" customHeight="true" outlineLevel="0" collapsed="false">
      <c r="V268" s="1"/>
      <c r="W268" s="1"/>
      <c r="X268" s="1"/>
      <c r="Y268" s="1"/>
    </row>
    <row r="269" customFormat="false" ht="15.75" hidden="false" customHeight="true" outlineLevel="0" collapsed="false">
      <c r="V269" s="1"/>
      <c r="W269" s="1"/>
      <c r="X269" s="1"/>
      <c r="Y269" s="1"/>
    </row>
    <row r="270" customFormat="false" ht="15.75" hidden="false" customHeight="true" outlineLevel="0" collapsed="false">
      <c r="V270" s="1"/>
      <c r="W270" s="1"/>
      <c r="X270" s="1"/>
      <c r="Y270" s="1"/>
    </row>
    <row r="271" customFormat="false" ht="15.75" hidden="false" customHeight="true" outlineLevel="0" collapsed="false">
      <c r="V271" s="1"/>
      <c r="W271" s="1"/>
      <c r="X271" s="1"/>
      <c r="Y271" s="1"/>
    </row>
    <row r="272" customFormat="false" ht="15.75" hidden="false" customHeight="true" outlineLevel="0" collapsed="false">
      <c r="V272" s="1"/>
      <c r="W272" s="1"/>
      <c r="X272" s="1"/>
      <c r="Y272" s="1"/>
    </row>
    <row r="273" customFormat="false" ht="15.75" hidden="false" customHeight="true" outlineLevel="0" collapsed="false">
      <c r="V273" s="1"/>
      <c r="W273" s="1"/>
      <c r="X273" s="1"/>
      <c r="Y273" s="1"/>
    </row>
    <row r="274" customFormat="false" ht="15.75" hidden="false" customHeight="true" outlineLevel="0" collapsed="false">
      <c r="V274" s="1"/>
      <c r="W274" s="1"/>
      <c r="X274" s="1"/>
      <c r="Y274" s="1"/>
    </row>
    <row r="275" customFormat="false" ht="15.75" hidden="false" customHeight="true" outlineLevel="0" collapsed="false">
      <c r="V275" s="1"/>
      <c r="W275" s="1"/>
      <c r="X275" s="1"/>
      <c r="Y275" s="1"/>
    </row>
    <row r="276" customFormat="false" ht="15.75" hidden="false" customHeight="true" outlineLevel="0" collapsed="false">
      <c r="V276" s="1"/>
      <c r="W276" s="1"/>
      <c r="X276" s="1"/>
      <c r="Y276" s="1"/>
    </row>
    <row r="277" customFormat="false" ht="15.75" hidden="false" customHeight="true" outlineLevel="0" collapsed="false">
      <c r="V277" s="1"/>
      <c r="W277" s="1"/>
      <c r="X277" s="1"/>
      <c r="Y277" s="1"/>
    </row>
    <row r="278" customFormat="false" ht="15.75" hidden="false" customHeight="true" outlineLevel="0" collapsed="false">
      <c r="V278" s="1"/>
      <c r="W278" s="1"/>
      <c r="X278" s="1"/>
      <c r="Y278" s="1"/>
    </row>
    <row r="279" customFormat="false" ht="15.75" hidden="false" customHeight="true" outlineLevel="0" collapsed="false">
      <c r="V279" s="1"/>
      <c r="W279" s="1"/>
      <c r="X279" s="1"/>
      <c r="Y279" s="1"/>
    </row>
    <row r="280" customFormat="false" ht="15.75" hidden="false" customHeight="true" outlineLevel="0" collapsed="false">
      <c r="V280" s="1"/>
      <c r="W280" s="1"/>
      <c r="X280" s="1"/>
      <c r="Y280" s="1"/>
    </row>
    <row r="281" customFormat="false" ht="15.75" hidden="false" customHeight="true" outlineLevel="0" collapsed="false">
      <c r="V281" s="1"/>
      <c r="W281" s="1"/>
      <c r="X281" s="1"/>
      <c r="Y281" s="1"/>
    </row>
    <row r="282" customFormat="false" ht="15.75" hidden="false" customHeight="true" outlineLevel="0" collapsed="false">
      <c r="V282" s="1"/>
      <c r="W282" s="1"/>
      <c r="X282" s="1"/>
      <c r="Y282" s="1"/>
    </row>
    <row r="283" customFormat="false" ht="15.75" hidden="false" customHeight="true" outlineLevel="0" collapsed="false">
      <c r="V283" s="1"/>
      <c r="W283" s="1"/>
      <c r="X283" s="1"/>
      <c r="Y283" s="1"/>
    </row>
    <row r="284" customFormat="false" ht="15.75" hidden="false" customHeight="true" outlineLevel="0" collapsed="false">
      <c r="V284" s="1"/>
      <c r="W284" s="1"/>
      <c r="X284" s="1"/>
      <c r="Y284" s="1"/>
    </row>
    <row r="285" customFormat="false" ht="15.75" hidden="false" customHeight="true" outlineLevel="0" collapsed="false">
      <c r="V285" s="1"/>
      <c r="W285" s="1"/>
      <c r="X285" s="1"/>
      <c r="Y285" s="1"/>
    </row>
    <row r="286" customFormat="false" ht="15.75" hidden="false" customHeight="true" outlineLevel="0" collapsed="false">
      <c r="V286" s="1"/>
      <c r="W286" s="1"/>
      <c r="X286" s="1"/>
      <c r="Y286" s="1"/>
    </row>
    <row r="287" customFormat="false" ht="15.75" hidden="false" customHeight="true" outlineLevel="0" collapsed="false">
      <c r="V287" s="1"/>
      <c r="W287" s="1"/>
      <c r="X287" s="1"/>
      <c r="Y287" s="1"/>
    </row>
    <row r="288" customFormat="false" ht="15.75" hidden="false" customHeight="true" outlineLevel="0" collapsed="false">
      <c r="V288" s="1"/>
      <c r="W288" s="1"/>
      <c r="X288" s="1"/>
      <c r="Y288" s="1"/>
    </row>
    <row r="289" customFormat="false" ht="15.75" hidden="false" customHeight="true" outlineLevel="0" collapsed="false">
      <c r="V289" s="1"/>
      <c r="W289" s="1"/>
      <c r="X289" s="1"/>
      <c r="Y289" s="1"/>
    </row>
    <row r="290" customFormat="false" ht="15.75" hidden="false" customHeight="true" outlineLevel="0" collapsed="false">
      <c r="V290" s="1"/>
      <c r="W290" s="1"/>
      <c r="X290" s="1"/>
      <c r="Y290" s="1"/>
    </row>
    <row r="291" customFormat="false" ht="15.75" hidden="false" customHeight="true" outlineLevel="0" collapsed="false">
      <c r="V291" s="1"/>
      <c r="W291" s="1"/>
      <c r="X291" s="1"/>
      <c r="Y291" s="1"/>
    </row>
    <row r="292" customFormat="false" ht="15.75" hidden="false" customHeight="true" outlineLevel="0" collapsed="false">
      <c r="V292" s="1"/>
      <c r="W292" s="1"/>
      <c r="X292" s="1"/>
      <c r="Y292" s="1"/>
    </row>
    <row r="293" customFormat="false" ht="15.75" hidden="false" customHeight="true" outlineLevel="0" collapsed="false">
      <c r="V293" s="1"/>
      <c r="W293" s="1"/>
      <c r="X293" s="1"/>
      <c r="Y293" s="1"/>
    </row>
    <row r="294" customFormat="false" ht="15.75" hidden="false" customHeight="true" outlineLevel="0" collapsed="false">
      <c r="V294" s="1"/>
      <c r="W294" s="1"/>
      <c r="X294" s="1"/>
      <c r="Y294" s="1"/>
    </row>
    <row r="295" customFormat="false" ht="15.75" hidden="false" customHeight="true" outlineLevel="0" collapsed="false">
      <c r="V295" s="1"/>
      <c r="W295" s="1"/>
      <c r="X295" s="1"/>
      <c r="Y295" s="1"/>
    </row>
    <row r="296" customFormat="false" ht="15.75" hidden="false" customHeight="true" outlineLevel="0" collapsed="false">
      <c r="V296" s="1"/>
      <c r="W296" s="1"/>
      <c r="X296" s="1"/>
      <c r="Y296" s="1"/>
    </row>
    <row r="297" customFormat="false" ht="15.75" hidden="false" customHeight="true" outlineLevel="0" collapsed="false">
      <c r="V297" s="1"/>
      <c r="W297" s="1"/>
      <c r="X297" s="1"/>
      <c r="Y297" s="1"/>
    </row>
    <row r="298" customFormat="false" ht="15.75" hidden="false" customHeight="true" outlineLevel="0" collapsed="false">
      <c r="V298" s="1"/>
      <c r="W298" s="1"/>
      <c r="X298" s="1"/>
      <c r="Y298" s="1"/>
    </row>
    <row r="299" customFormat="false" ht="15.75" hidden="false" customHeight="true" outlineLevel="0" collapsed="false">
      <c r="V299" s="1"/>
      <c r="W299" s="1"/>
      <c r="X299" s="1"/>
      <c r="Y299" s="1"/>
    </row>
    <row r="300" customFormat="false" ht="15.75" hidden="false" customHeight="true" outlineLevel="0" collapsed="false">
      <c r="V300" s="1"/>
      <c r="W300" s="1"/>
      <c r="X300" s="1"/>
      <c r="Y300" s="1"/>
    </row>
    <row r="301" customFormat="false" ht="15.75" hidden="false" customHeight="true" outlineLevel="0" collapsed="false">
      <c r="V301" s="1"/>
      <c r="W301" s="1"/>
      <c r="X301" s="1"/>
      <c r="Y301" s="1"/>
    </row>
    <row r="302" customFormat="false" ht="15.75" hidden="false" customHeight="true" outlineLevel="0" collapsed="false">
      <c r="V302" s="1"/>
      <c r="W302" s="1"/>
      <c r="X302" s="1"/>
      <c r="Y302" s="1"/>
    </row>
    <row r="303" customFormat="false" ht="15.75" hidden="false" customHeight="true" outlineLevel="0" collapsed="false">
      <c r="V303" s="1"/>
      <c r="W303" s="1"/>
      <c r="X303" s="1"/>
      <c r="Y303" s="1"/>
    </row>
    <row r="304" customFormat="false" ht="15.75" hidden="false" customHeight="true" outlineLevel="0" collapsed="false">
      <c r="V304" s="1"/>
      <c r="W304" s="1"/>
      <c r="X304" s="1"/>
      <c r="Y304" s="1"/>
    </row>
    <row r="305" customFormat="false" ht="15.75" hidden="false" customHeight="true" outlineLevel="0" collapsed="false">
      <c r="V305" s="1"/>
      <c r="W305" s="1"/>
      <c r="X305" s="1"/>
      <c r="Y305" s="1"/>
    </row>
    <row r="306" customFormat="false" ht="15.75" hidden="false" customHeight="true" outlineLevel="0" collapsed="false">
      <c r="V306" s="1"/>
      <c r="W306" s="1"/>
      <c r="X306" s="1"/>
      <c r="Y306" s="1"/>
    </row>
    <row r="307" customFormat="false" ht="15.75" hidden="false" customHeight="true" outlineLevel="0" collapsed="false">
      <c r="V307" s="1"/>
      <c r="W307" s="1"/>
      <c r="X307" s="1"/>
      <c r="Y307" s="1"/>
    </row>
    <row r="308" customFormat="false" ht="15.75" hidden="false" customHeight="true" outlineLevel="0" collapsed="false">
      <c r="V308" s="1"/>
      <c r="W308" s="1"/>
      <c r="X308" s="1"/>
      <c r="Y308" s="1"/>
    </row>
    <row r="309" customFormat="false" ht="15.75" hidden="false" customHeight="true" outlineLevel="0" collapsed="false">
      <c r="V309" s="1"/>
      <c r="W309" s="1"/>
      <c r="X309" s="1"/>
      <c r="Y309" s="1"/>
    </row>
    <row r="310" customFormat="false" ht="15.75" hidden="false" customHeight="true" outlineLevel="0" collapsed="false">
      <c r="V310" s="1"/>
      <c r="W310" s="1"/>
      <c r="X310" s="1"/>
      <c r="Y310" s="1"/>
    </row>
    <row r="311" customFormat="false" ht="15.75" hidden="false" customHeight="true" outlineLevel="0" collapsed="false">
      <c r="V311" s="1"/>
      <c r="W311" s="1"/>
      <c r="X311" s="1"/>
      <c r="Y311" s="1"/>
    </row>
    <row r="312" customFormat="false" ht="15.75" hidden="false" customHeight="true" outlineLevel="0" collapsed="false">
      <c r="V312" s="1"/>
      <c r="W312" s="1"/>
      <c r="X312" s="1"/>
      <c r="Y312" s="1"/>
    </row>
    <row r="313" customFormat="false" ht="15.75" hidden="false" customHeight="true" outlineLevel="0" collapsed="false">
      <c r="V313" s="1"/>
      <c r="W313" s="1"/>
      <c r="X313" s="1"/>
      <c r="Y313" s="1"/>
    </row>
    <row r="314" customFormat="false" ht="15.75" hidden="false" customHeight="true" outlineLevel="0" collapsed="false">
      <c r="V314" s="1"/>
      <c r="W314" s="1"/>
      <c r="X314" s="1"/>
      <c r="Y314" s="1"/>
    </row>
    <row r="315" customFormat="false" ht="15.75" hidden="false" customHeight="true" outlineLevel="0" collapsed="false">
      <c r="V315" s="1"/>
      <c r="W315" s="1"/>
      <c r="X315" s="1"/>
      <c r="Y315" s="1"/>
    </row>
    <row r="316" customFormat="false" ht="15.75" hidden="false" customHeight="true" outlineLevel="0" collapsed="false">
      <c r="V316" s="1"/>
      <c r="W316" s="1"/>
      <c r="X316" s="1"/>
      <c r="Y316" s="1"/>
    </row>
    <row r="317" customFormat="false" ht="15.75" hidden="false" customHeight="true" outlineLevel="0" collapsed="false">
      <c r="V317" s="1"/>
      <c r="W317" s="1"/>
      <c r="X317" s="1"/>
      <c r="Y317" s="1"/>
    </row>
    <row r="318" customFormat="false" ht="15.75" hidden="false" customHeight="true" outlineLevel="0" collapsed="false">
      <c r="V318" s="1"/>
      <c r="W318" s="1"/>
      <c r="X318" s="1"/>
      <c r="Y318" s="1"/>
    </row>
    <row r="319" customFormat="false" ht="15.75" hidden="false" customHeight="true" outlineLevel="0" collapsed="false">
      <c r="V319" s="1"/>
      <c r="W319" s="1"/>
      <c r="X319" s="1"/>
      <c r="Y319" s="1"/>
    </row>
    <row r="320" customFormat="false" ht="15.75" hidden="false" customHeight="true" outlineLevel="0" collapsed="false">
      <c r="V320" s="1"/>
      <c r="W320" s="1"/>
      <c r="X320" s="1"/>
      <c r="Y320" s="1"/>
    </row>
    <row r="321" customFormat="false" ht="15.75" hidden="false" customHeight="true" outlineLevel="0" collapsed="false">
      <c r="V321" s="1"/>
      <c r="W321" s="1"/>
      <c r="X321" s="1"/>
      <c r="Y321" s="1"/>
    </row>
    <row r="322" customFormat="false" ht="15.75" hidden="false" customHeight="true" outlineLevel="0" collapsed="false">
      <c r="V322" s="1"/>
      <c r="W322" s="1"/>
      <c r="X322" s="1"/>
      <c r="Y322" s="1"/>
    </row>
    <row r="323" customFormat="false" ht="15.75" hidden="false" customHeight="true" outlineLevel="0" collapsed="false">
      <c r="V323" s="1"/>
      <c r="W323" s="1"/>
      <c r="X323" s="1"/>
      <c r="Y323" s="1"/>
    </row>
    <row r="324" customFormat="false" ht="15.75" hidden="false" customHeight="true" outlineLevel="0" collapsed="false">
      <c r="V324" s="1"/>
      <c r="W324" s="1"/>
      <c r="X324" s="1"/>
      <c r="Y324" s="1"/>
    </row>
    <row r="325" customFormat="false" ht="15.75" hidden="false" customHeight="true" outlineLevel="0" collapsed="false">
      <c r="V325" s="1"/>
      <c r="W325" s="1"/>
      <c r="X325" s="1"/>
      <c r="Y325" s="1"/>
    </row>
    <row r="326" customFormat="false" ht="15.75" hidden="false" customHeight="true" outlineLevel="0" collapsed="false">
      <c r="V326" s="1"/>
      <c r="W326" s="1"/>
      <c r="X326" s="1"/>
      <c r="Y326" s="1"/>
    </row>
    <row r="327" customFormat="false" ht="15.75" hidden="false" customHeight="true" outlineLevel="0" collapsed="false">
      <c r="V327" s="1"/>
      <c r="W327" s="1"/>
      <c r="X327" s="1"/>
      <c r="Y327" s="1"/>
    </row>
    <row r="328" customFormat="false" ht="15.75" hidden="false" customHeight="true" outlineLevel="0" collapsed="false">
      <c r="V328" s="1"/>
      <c r="W328" s="1"/>
      <c r="X328" s="1"/>
      <c r="Y328" s="1"/>
    </row>
    <row r="329" customFormat="false" ht="15.75" hidden="false" customHeight="true" outlineLevel="0" collapsed="false">
      <c r="V329" s="1"/>
      <c r="W329" s="1"/>
      <c r="X329" s="1"/>
      <c r="Y329" s="1"/>
    </row>
    <row r="330" customFormat="false" ht="15.75" hidden="false" customHeight="true" outlineLevel="0" collapsed="false">
      <c r="V330" s="1"/>
      <c r="W330" s="1"/>
      <c r="X330" s="1"/>
      <c r="Y330" s="1"/>
    </row>
    <row r="331" customFormat="false" ht="15.75" hidden="false" customHeight="true" outlineLevel="0" collapsed="false">
      <c r="V331" s="1"/>
      <c r="W331" s="1"/>
      <c r="X331" s="1"/>
      <c r="Y331" s="1"/>
    </row>
    <row r="332" customFormat="false" ht="15.75" hidden="false" customHeight="true" outlineLevel="0" collapsed="false">
      <c r="V332" s="1"/>
      <c r="W332" s="1"/>
      <c r="X332" s="1"/>
      <c r="Y332" s="1"/>
    </row>
    <row r="333" customFormat="false" ht="15.75" hidden="false" customHeight="true" outlineLevel="0" collapsed="false">
      <c r="V333" s="1"/>
      <c r="W333" s="1"/>
      <c r="X333" s="1"/>
      <c r="Y333" s="1"/>
    </row>
    <row r="334" customFormat="false" ht="15.75" hidden="false" customHeight="true" outlineLevel="0" collapsed="false">
      <c r="V334" s="1"/>
      <c r="W334" s="1"/>
      <c r="X334" s="1"/>
      <c r="Y334" s="1"/>
    </row>
    <row r="335" customFormat="false" ht="15.75" hidden="false" customHeight="true" outlineLevel="0" collapsed="false">
      <c r="V335" s="1"/>
      <c r="W335" s="1"/>
      <c r="X335" s="1"/>
      <c r="Y335" s="1"/>
    </row>
    <row r="336" customFormat="false" ht="15.75" hidden="false" customHeight="true" outlineLevel="0" collapsed="false">
      <c r="V336" s="1"/>
      <c r="W336" s="1"/>
      <c r="X336" s="1"/>
      <c r="Y336" s="1"/>
    </row>
    <row r="337" customFormat="false" ht="15.75" hidden="false" customHeight="true" outlineLevel="0" collapsed="false">
      <c r="V337" s="1"/>
      <c r="W337" s="1"/>
      <c r="X337" s="1"/>
      <c r="Y337" s="1"/>
    </row>
    <row r="338" customFormat="false" ht="15.75" hidden="false" customHeight="true" outlineLevel="0" collapsed="false">
      <c r="V338" s="1"/>
      <c r="W338" s="1"/>
      <c r="X338" s="1"/>
      <c r="Y338" s="1"/>
    </row>
    <row r="339" customFormat="false" ht="15.75" hidden="false" customHeight="true" outlineLevel="0" collapsed="false">
      <c r="V339" s="1"/>
      <c r="W339" s="1"/>
      <c r="X339" s="1"/>
      <c r="Y339" s="1"/>
    </row>
    <row r="340" customFormat="false" ht="15.75" hidden="false" customHeight="true" outlineLevel="0" collapsed="false">
      <c r="V340" s="1"/>
      <c r="W340" s="1"/>
      <c r="X340" s="1"/>
      <c r="Y340" s="1"/>
    </row>
    <row r="341" customFormat="false" ht="15.75" hidden="false" customHeight="true" outlineLevel="0" collapsed="false">
      <c r="V341" s="1"/>
      <c r="W341" s="1"/>
      <c r="X341" s="1"/>
      <c r="Y341" s="1"/>
    </row>
    <row r="342" customFormat="false" ht="15.75" hidden="false" customHeight="true" outlineLevel="0" collapsed="false">
      <c r="V342" s="1"/>
      <c r="W342" s="1"/>
      <c r="X342" s="1"/>
      <c r="Y342" s="1"/>
    </row>
    <row r="343" customFormat="false" ht="15.75" hidden="false" customHeight="true" outlineLevel="0" collapsed="false">
      <c r="V343" s="1"/>
      <c r="W343" s="1"/>
      <c r="X343" s="1"/>
      <c r="Y343" s="1"/>
    </row>
    <row r="344" customFormat="false" ht="15.75" hidden="false" customHeight="true" outlineLevel="0" collapsed="false">
      <c r="V344" s="1"/>
      <c r="W344" s="1"/>
      <c r="X344" s="1"/>
      <c r="Y344" s="1"/>
    </row>
    <row r="345" customFormat="false" ht="15.75" hidden="false" customHeight="true" outlineLevel="0" collapsed="false">
      <c r="V345" s="1"/>
      <c r="W345" s="1"/>
      <c r="X345" s="1"/>
      <c r="Y345" s="1"/>
    </row>
    <row r="346" customFormat="false" ht="15.75" hidden="false" customHeight="true" outlineLevel="0" collapsed="false">
      <c r="V346" s="1"/>
      <c r="W346" s="1"/>
      <c r="X346" s="1"/>
      <c r="Y346" s="1"/>
    </row>
    <row r="347" customFormat="false" ht="15.75" hidden="false" customHeight="true" outlineLevel="0" collapsed="false">
      <c r="V347" s="1"/>
      <c r="W347" s="1"/>
      <c r="X347" s="1"/>
      <c r="Y347" s="1"/>
    </row>
    <row r="348" customFormat="false" ht="15.75" hidden="false" customHeight="true" outlineLevel="0" collapsed="false">
      <c r="V348" s="1"/>
      <c r="W348" s="1"/>
      <c r="X348" s="1"/>
      <c r="Y348" s="1"/>
    </row>
    <row r="349" customFormat="false" ht="15.75" hidden="false" customHeight="true" outlineLevel="0" collapsed="false">
      <c r="V349" s="1"/>
      <c r="W349" s="1"/>
      <c r="X349" s="1"/>
      <c r="Y349" s="1"/>
    </row>
    <row r="350" customFormat="false" ht="15.75" hidden="false" customHeight="true" outlineLevel="0" collapsed="false">
      <c r="V350" s="1"/>
      <c r="W350" s="1"/>
      <c r="X350" s="1"/>
      <c r="Y350" s="1"/>
    </row>
    <row r="351" customFormat="false" ht="15.75" hidden="false" customHeight="true" outlineLevel="0" collapsed="false">
      <c r="V351" s="1"/>
      <c r="W351" s="1"/>
      <c r="X351" s="1"/>
      <c r="Y351" s="1"/>
    </row>
    <row r="352" customFormat="false" ht="15.75" hidden="false" customHeight="true" outlineLevel="0" collapsed="false">
      <c r="V352" s="1"/>
      <c r="W352" s="1"/>
      <c r="X352" s="1"/>
      <c r="Y352" s="1"/>
    </row>
    <row r="353" customFormat="false" ht="15.75" hidden="false" customHeight="true" outlineLevel="0" collapsed="false">
      <c r="V353" s="1"/>
      <c r="W353" s="1"/>
      <c r="X353" s="1"/>
      <c r="Y353" s="1"/>
    </row>
    <row r="354" customFormat="false" ht="15.75" hidden="false" customHeight="true" outlineLevel="0" collapsed="false">
      <c r="V354" s="1"/>
      <c r="W354" s="1"/>
      <c r="X354" s="1"/>
      <c r="Y354" s="1"/>
    </row>
    <row r="355" customFormat="false" ht="15.75" hidden="false" customHeight="true" outlineLevel="0" collapsed="false">
      <c r="V355" s="1"/>
      <c r="W355" s="1"/>
      <c r="X355" s="1"/>
      <c r="Y355" s="1"/>
    </row>
    <row r="356" customFormat="false" ht="15.75" hidden="false" customHeight="true" outlineLevel="0" collapsed="false">
      <c r="V356" s="1"/>
      <c r="W356" s="1"/>
      <c r="X356" s="1"/>
      <c r="Y356" s="1"/>
    </row>
    <row r="357" customFormat="false" ht="15.75" hidden="false" customHeight="true" outlineLevel="0" collapsed="false">
      <c r="V357" s="1"/>
      <c r="W357" s="1"/>
      <c r="X357" s="1"/>
      <c r="Y357" s="1"/>
    </row>
    <row r="358" customFormat="false" ht="15.75" hidden="false" customHeight="true" outlineLevel="0" collapsed="false">
      <c r="V358" s="1"/>
      <c r="W358" s="1"/>
      <c r="X358" s="1"/>
      <c r="Y358" s="1"/>
    </row>
    <row r="359" customFormat="false" ht="15.75" hidden="false" customHeight="true" outlineLevel="0" collapsed="false">
      <c r="V359" s="1"/>
      <c r="W359" s="1"/>
      <c r="X359" s="1"/>
      <c r="Y359" s="1"/>
    </row>
    <row r="360" customFormat="false" ht="15.75" hidden="false" customHeight="true" outlineLevel="0" collapsed="false">
      <c r="V360" s="1"/>
      <c r="W360" s="1"/>
      <c r="X360" s="1"/>
      <c r="Y360" s="1"/>
    </row>
    <row r="361" customFormat="false" ht="15.75" hidden="false" customHeight="true" outlineLevel="0" collapsed="false">
      <c r="V361" s="1"/>
      <c r="W361" s="1"/>
      <c r="X361" s="1"/>
      <c r="Y361" s="1"/>
    </row>
    <row r="362" customFormat="false" ht="15.75" hidden="false" customHeight="true" outlineLevel="0" collapsed="false">
      <c r="V362" s="1"/>
      <c r="W362" s="1"/>
      <c r="X362" s="1"/>
      <c r="Y362" s="1"/>
    </row>
    <row r="363" customFormat="false" ht="15.75" hidden="false" customHeight="true" outlineLevel="0" collapsed="false">
      <c r="V363" s="1"/>
      <c r="W363" s="1"/>
      <c r="X363" s="1"/>
      <c r="Y363" s="1"/>
    </row>
    <row r="364" customFormat="false" ht="15.75" hidden="false" customHeight="true" outlineLevel="0" collapsed="false">
      <c r="V364" s="1"/>
      <c r="W364" s="1"/>
      <c r="X364" s="1"/>
      <c r="Y364" s="1"/>
    </row>
    <row r="365" customFormat="false" ht="15.75" hidden="false" customHeight="true" outlineLevel="0" collapsed="false">
      <c r="V365" s="1"/>
      <c r="W365" s="1"/>
      <c r="X365" s="1"/>
      <c r="Y365" s="1"/>
    </row>
    <row r="366" customFormat="false" ht="15.75" hidden="false" customHeight="true" outlineLevel="0" collapsed="false">
      <c r="V366" s="1"/>
      <c r="W366" s="1"/>
      <c r="X366" s="1"/>
      <c r="Y366" s="1"/>
    </row>
    <row r="367" customFormat="false" ht="15.75" hidden="false" customHeight="true" outlineLevel="0" collapsed="false">
      <c r="V367" s="1"/>
      <c r="W367" s="1"/>
      <c r="X367" s="1"/>
      <c r="Y367" s="1"/>
    </row>
    <row r="368" customFormat="false" ht="15.75" hidden="false" customHeight="true" outlineLevel="0" collapsed="false">
      <c r="V368" s="1"/>
      <c r="W368" s="1"/>
      <c r="X368" s="1"/>
      <c r="Y368" s="1"/>
    </row>
    <row r="369" customFormat="false" ht="15.75" hidden="false" customHeight="true" outlineLevel="0" collapsed="false">
      <c r="V369" s="1"/>
      <c r="W369" s="1"/>
      <c r="X369" s="1"/>
      <c r="Y369" s="1"/>
    </row>
    <row r="370" customFormat="false" ht="15.75" hidden="false" customHeight="true" outlineLevel="0" collapsed="false">
      <c r="V370" s="1"/>
      <c r="W370" s="1"/>
      <c r="X370" s="1"/>
      <c r="Y370" s="1"/>
    </row>
    <row r="371" customFormat="false" ht="15.75" hidden="false" customHeight="true" outlineLevel="0" collapsed="false">
      <c r="V371" s="1"/>
      <c r="W371" s="1"/>
      <c r="X371" s="1"/>
      <c r="Y371" s="1"/>
    </row>
    <row r="372" customFormat="false" ht="15.75" hidden="false" customHeight="true" outlineLevel="0" collapsed="false">
      <c r="V372" s="1"/>
      <c r="W372" s="1"/>
      <c r="X372" s="1"/>
      <c r="Y372" s="1"/>
    </row>
    <row r="373" customFormat="false" ht="15.75" hidden="false" customHeight="true" outlineLevel="0" collapsed="false">
      <c r="V373" s="1"/>
      <c r="W373" s="1"/>
      <c r="X373" s="1"/>
      <c r="Y373" s="1"/>
    </row>
    <row r="374" customFormat="false" ht="15.75" hidden="false" customHeight="true" outlineLevel="0" collapsed="false">
      <c r="V374" s="1"/>
      <c r="W374" s="1"/>
      <c r="X374" s="1"/>
      <c r="Y374" s="1"/>
    </row>
    <row r="375" customFormat="false" ht="15.75" hidden="false" customHeight="true" outlineLevel="0" collapsed="false">
      <c r="V375" s="1"/>
      <c r="W375" s="1"/>
      <c r="X375" s="1"/>
      <c r="Y375" s="1"/>
    </row>
    <row r="376" customFormat="false" ht="15.75" hidden="false" customHeight="true" outlineLevel="0" collapsed="false">
      <c r="V376" s="1"/>
      <c r="W376" s="1"/>
      <c r="X376" s="1"/>
      <c r="Y376" s="1"/>
    </row>
    <row r="377" customFormat="false" ht="15.75" hidden="false" customHeight="true" outlineLevel="0" collapsed="false">
      <c r="V377" s="1"/>
      <c r="W377" s="1"/>
      <c r="X377" s="1"/>
      <c r="Y377" s="1"/>
    </row>
    <row r="378" customFormat="false" ht="15.75" hidden="false" customHeight="true" outlineLevel="0" collapsed="false">
      <c r="V378" s="1"/>
      <c r="W378" s="1"/>
      <c r="X378" s="1"/>
      <c r="Y378" s="1"/>
    </row>
    <row r="379" customFormat="false" ht="15.75" hidden="false" customHeight="true" outlineLevel="0" collapsed="false">
      <c r="V379" s="1"/>
      <c r="W379" s="1"/>
      <c r="X379" s="1"/>
      <c r="Y379" s="1"/>
    </row>
    <row r="380" customFormat="false" ht="15.75" hidden="false" customHeight="true" outlineLevel="0" collapsed="false">
      <c r="V380" s="1"/>
      <c r="W380" s="1"/>
      <c r="X380" s="1"/>
      <c r="Y380" s="1"/>
    </row>
    <row r="381" customFormat="false" ht="15.75" hidden="false" customHeight="true" outlineLevel="0" collapsed="false">
      <c r="V381" s="1"/>
      <c r="W381" s="1"/>
      <c r="X381" s="1"/>
      <c r="Y381" s="1"/>
    </row>
    <row r="382" customFormat="false" ht="15.75" hidden="false" customHeight="true" outlineLevel="0" collapsed="false">
      <c r="V382" s="1"/>
      <c r="W382" s="1"/>
      <c r="X382" s="1"/>
      <c r="Y382" s="1"/>
    </row>
    <row r="383" customFormat="false" ht="15.75" hidden="false" customHeight="true" outlineLevel="0" collapsed="false">
      <c r="V383" s="1"/>
      <c r="W383" s="1"/>
      <c r="X383" s="1"/>
      <c r="Y383" s="1"/>
    </row>
    <row r="384" customFormat="false" ht="15.75" hidden="false" customHeight="true" outlineLevel="0" collapsed="false">
      <c r="V384" s="1"/>
      <c r="W384" s="1"/>
      <c r="X384" s="1"/>
      <c r="Y384" s="1"/>
    </row>
    <row r="385" customFormat="false" ht="15.75" hidden="false" customHeight="true" outlineLevel="0" collapsed="false">
      <c r="V385" s="1"/>
      <c r="W385" s="1"/>
      <c r="X385" s="1"/>
      <c r="Y385" s="1"/>
    </row>
    <row r="386" customFormat="false" ht="15.75" hidden="false" customHeight="true" outlineLevel="0" collapsed="false">
      <c r="V386" s="1"/>
      <c r="W386" s="1"/>
      <c r="X386" s="1"/>
      <c r="Y386" s="1"/>
    </row>
    <row r="387" customFormat="false" ht="15.75" hidden="false" customHeight="true" outlineLevel="0" collapsed="false">
      <c r="V387" s="1"/>
      <c r="W387" s="1"/>
      <c r="X387" s="1"/>
      <c r="Y387" s="1"/>
    </row>
    <row r="388" customFormat="false" ht="15.75" hidden="false" customHeight="true" outlineLevel="0" collapsed="false">
      <c r="V388" s="1"/>
      <c r="W388" s="1"/>
      <c r="X388" s="1"/>
      <c r="Y388" s="1"/>
    </row>
    <row r="389" customFormat="false" ht="15.75" hidden="false" customHeight="true" outlineLevel="0" collapsed="false">
      <c r="V389" s="1"/>
      <c r="W389" s="1"/>
      <c r="X389" s="1"/>
      <c r="Y389" s="1"/>
    </row>
    <row r="390" customFormat="false" ht="15.75" hidden="false" customHeight="true" outlineLevel="0" collapsed="false">
      <c r="V390" s="1"/>
      <c r="W390" s="1"/>
      <c r="X390" s="1"/>
      <c r="Y390" s="1"/>
    </row>
    <row r="391" customFormat="false" ht="15.75" hidden="false" customHeight="true" outlineLevel="0" collapsed="false">
      <c r="V391" s="1"/>
      <c r="W391" s="1"/>
      <c r="X391" s="1"/>
      <c r="Y391" s="1"/>
    </row>
    <row r="392" customFormat="false" ht="15.75" hidden="false" customHeight="true" outlineLevel="0" collapsed="false">
      <c r="V392" s="1"/>
      <c r="W392" s="1"/>
      <c r="X392" s="1"/>
      <c r="Y392" s="1"/>
    </row>
    <row r="393" customFormat="false" ht="15.75" hidden="false" customHeight="true" outlineLevel="0" collapsed="false">
      <c r="V393" s="1"/>
      <c r="W393" s="1"/>
      <c r="X393" s="1"/>
      <c r="Y393" s="1"/>
    </row>
    <row r="394" customFormat="false" ht="15.75" hidden="false" customHeight="true" outlineLevel="0" collapsed="false">
      <c r="V394" s="1"/>
      <c r="W394" s="1"/>
      <c r="X394" s="1"/>
      <c r="Y394" s="1"/>
    </row>
    <row r="395" customFormat="false" ht="15.75" hidden="false" customHeight="true" outlineLevel="0" collapsed="false">
      <c r="V395" s="1"/>
      <c r="W395" s="1"/>
      <c r="X395" s="1"/>
      <c r="Y395" s="1"/>
    </row>
    <row r="396" customFormat="false" ht="15.75" hidden="false" customHeight="true" outlineLevel="0" collapsed="false">
      <c r="V396" s="1"/>
      <c r="W396" s="1"/>
      <c r="X396" s="1"/>
      <c r="Y396" s="1"/>
    </row>
    <row r="397" customFormat="false" ht="15.75" hidden="false" customHeight="true" outlineLevel="0" collapsed="false">
      <c r="V397" s="1"/>
      <c r="W397" s="1"/>
      <c r="X397" s="1"/>
      <c r="Y397" s="1"/>
    </row>
    <row r="398" customFormat="false" ht="15.75" hidden="false" customHeight="true" outlineLevel="0" collapsed="false">
      <c r="V398" s="1"/>
      <c r="W398" s="1"/>
      <c r="X398" s="1"/>
      <c r="Y398" s="1"/>
    </row>
    <row r="399" customFormat="false" ht="15.75" hidden="false" customHeight="true" outlineLevel="0" collapsed="false">
      <c r="V399" s="1"/>
      <c r="W399" s="1"/>
      <c r="X399" s="1"/>
      <c r="Y399" s="1"/>
    </row>
    <row r="400" customFormat="false" ht="15.75" hidden="false" customHeight="true" outlineLevel="0" collapsed="false">
      <c r="V400" s="1"/>
      <c r="W400" s="1"/>
      <c r="X400" s="1"/>
      <c r="Y400" s="1"/>
    </row>
    <row r="401" customFormat="false" ht="15.75" hidden="false" customHeight="true" outlineLevel="0" collapsed="false">
      <c r="V401" s="1"/>
      <c r="W401" s="1"/>
      <c r="X401" s="1"/>
      <c r="Y401" s="1"/>
    </row>
    <row r="402" customFormat="false" ht="15.75" hidden="false" customHeight="true" outlineLevel="0" collapsed="false">
      <c r="V402" s="1"/>
      <c r="W402" s="1"/>
      <c r="X402" s="1"/>
      <c r="Y402" s="1"/>
    </row>
    <row r="403" customFormat="false" ht="15.75" hidden="false" customHeight="true" outlineLevel="0" collapsed="false">
      <c r="V403" s="1"/>
      <c r="W403" s="1"/>
      <c r="X403" s="1"/>
      <c r="Y403" s="1"/>
    </row>
    <row r="404" customFormat="false" ht="15.75" hidden="false" customHeight="true" outlineLevel="0" collapsed="false">
      <c r="V404" s="1"/>
      <c r="W404" s="1"/>
      <c r="X404" s="1"/>
      <c r="Y404" s="1"/>
    </row>
    <row r="405" customFormat="false" ht="15.75" hidden="false" customHeight="true" outlineLevel="0" collapsed="false">
      <c r="V405" s="1"/>
      <c r="W405" s="1"/>
      <c r="X405" s="1"/>
      <c r="Y405" s="1"/>
    </row>
    <row r="406" customFormat="false" ht="15.75" hidden="false" customHeight="true" outlineLevel="0" collapsed="false">
      <c r="V406" s="1"/>
      <c r="W406" s="1"/>
      <c r="X406" s="1"/>
      <c r="Y406" s="1"/>
    </row>
    <row r="407" customFormat="false" ht="15.75" hidden="false" customHeight="true" outlineLevel="0" collapsed="false">
      <c r="V407" s="1"/>
      <c r="W407" s="1"/>
      <c r="X407" s="1"/>
      <c r="Y407" s="1"/>
    </row>
    <row r="408" customFormat="false" ht="15.75" hidden="false" customHeight="true" outlineLevel="0" collapsed="false">
      <c r="V408" s="1"/>
      <c r="W408" s="1"/>
      <c r="X408" s="1"/>
      <c r="Y408" s="1"/>
    </row>
    <row r="409" customFormat="false" ht="15.75" hidden="false" customHeight="true" outlineLevel="0" collapsed="false">
      <c r="V409" s="1"/>
      <c r="W409" s="1"/>
      <c r="X409" s="1"/>
      <c r="Y409" s="1"/>
    </row>
    <row r="410" customFormat="false" ht="15.75" hidden="false" customHeight="true" outlineLevel="0" collapsed="false">
      <c r="V410" s="1"/>
      <c r="W410" s="1"/>
      <c r="X410" s="1"/>
      <c r="Y410" s="1"/>
    </row>
    <row r="411" customFormat="false" ht="15.75" hidden="false" customHeight="true" outlineLevel="0" collapsed="false">
      <c r="V411" s="1"/>
      <c r="W411" s="1"/>
      <c r="X411" s="1"/>
      <c r="Y411" s="1"/>
    </row>
    <row r="412" customFormat="false" ht="15.75" hidden="false" customHeight="true" outlineLevel="0" collapsed="false">
      <c r="V412" s="1"/>
      <c r="W412" s="1"/>
      <c r="X412" s="1"/>
      <c r="Y412" s="1"/>
    </row>
    <row r="413" customFormat="false" ht="15.75" hidden="false" customHeight="true" outlineLevel="0" collapsed="false">
      <c r="V413" s="1"/>
      <c r="W413" s="1"/>
      <c r="X413" s="1"/>
      <c r="Y413" s="1"/>
    </row>
    <row r="414" customFormat="false" ht="15.75" hidden="false" customHeight="true" outlineLevel="0" collapsed="false">
      <c r="V414" s="1"/>
      <c r="W414" s="1"/>
      <c r="X414" s="1"/>
      <c r="Y414" s="1"/>
    </row>
    <row r="415" customFormat="false" ht="15.75" hidden="false" customHeight="true" outlineLevel="0" collapsed="false">
      <c r="V415" s="1"/>
      <c r="W415" s="1"/>
      <c r="X415" s="1"/>
      <c r="Y415" s="1"/>
    </row>
    <row r="416" customFormat="false" ht="15.75" hidden="false" customHeight="true" outlineLevel="0" collapsed="false">
      <c r="V416" s="1"/>
      <c r="W416" s="1"/>
      <c r="X416" s="1"/>
      <c r="Y416" s="1"/>
    </row>
    <row r="417" customFormat="false" ht="15.75" hidden="false" customHeight="true" outlineLevel="0" collapsed="false">
      <c r="V417" s="1"/>
      <c r="W417" s="1"/>
      <c r="X417" s="1"/>
      <c r="Y417" s="1"/>
    </row>
    <row r="418" customFormat="false" ht="15.75" hidden="false" customHeight="true" outlineLevel="0" collapsed="false">
      <c r="V418" s="1"/>
      <c r="W418" s="1"/>
      <c r="X418" s="1"/>
      <c r="Y418" s="1"/>
    </row>
    <row r="419" customFormat="false" ht="15.75" hidden="false" customHeight="true" outlineLevel="0" collapsed="false">
      <c r="V419" s="1"/>
      <c r="W419" s="1"/>
      <c r="X419" s="1"/>
      <c r="Y419" s="1"/>
    </row>
    <row r="420" customFormat="false" ht="15.75" hidden="false" customHeight="true" outlineLevel="0" collapsed="false">
      <c r="V420" s="1"/>
      <c r="W420" s="1"/>
      <c r="X420" s="1"/>
      <c r="Y420" s="1"/>
    </row>
    <row r="421" customFormat="false" ht="15.75" hidden="false" customHeight="true" outlineLevel="0" collapsed="false">
      <c r="V421" s="1"/>
      <c r="W421" s="1"/>
      <c r="X421" s="1"/>
      <c r="Y421" s="1"/>
    </row>
    <row r="422" customFormat="false" ht="15.75" hidden="false" customHeight="true" outlineLevel="0" collapsed="false">
      <c r="V422" s="1"/>
      <c r="W422" s="1"/>
      <c r="X422" s="1"/>
      <c r="Y422" s="1"/>
    </row>
    <row r="423" customFormat="false" ht="15.75" hidden="false" customHeight="true" outlineLevel="0" collapsed="false">
      <c r="V423" s="1"/>
      <c r="W423" s="1"/>
      <c r="X423" s="1"/>
      <c r="Y423" s="1"/>
    </row>
    <row r="424" customFormat="false" ht="15.75" hidden="false" customHeight="true" outlineLevel="0" collapsed="false">
      <c r="V424" s="1"/>
      <c r="W424" s="1"/>
      <c r="X424" s="1"/>
      <c r="Y424" s="1"/>
    </row>
    <row r="425" customFormat="false" ht="15.75" hidden="false" customHeight="true" outlineLevel="0" collapsed="false">
      <c r="V425" s="1"/>
      <c r="W425" s="1"/>
      <c r="X425" s="1"/>
      <c r="Y425" s="1"/>
    </row>
    <row r="426" customFormat="false" ht="15.75" hidden="false" customHeight="true" outlineLevel="0" collapsed="false">
      <c r="V426" s="1"/>
      <c r="W426" s="1"/>
      <c r="X426" s="1"/>
      <c r="Y426" s="1"/>
    </row>
    <row r="427" customFormat="false" ht="15.75" hidden="false" customHeight="true" outlineLevel="0" collapsed="false">
      <c r="V427" s="1"/>
      <c r="W427" s="1"/>
      <c r="X427" s="1"/>
      <c r="Y427" s="1"/>
    </row>
    <row r="428" customFormat="false" ht="15.75" hidden="false" customHeight="true" outlineLevel="0" collapsed="false">
      <c r="V428" s="1"/>
      <c r="W428" s="1"/>
      <c r="X428" s="1"/>
      <c r="Y428" s="1"/>
    </row>
    <row r="429" customFormat="false" ht="15.75" hidden="false" customHeight="true" outlineLevel="0" collapsed="false">
      <c r="V429" s="1"/>
      <c r="W429" s="1"/>
      <c r="X429" s="1"/>
      <c r="Y429" s="1"/>
    </row>
    <row r="430" customFormat="false" ht="15.75" hidden="false" customHeight="true" outlineLevel="0" collapsed="false">
      <c r="V430" s="1"/>
      <c r="W430" s="1"/>
      <c r="X430" s="1"/>
      <c r="Y430" s="1"/>
    </row>
    <row r="431" customFormat="false" ht="15.75" hidden="false" customHeight="true" outlineLevel="0" collapsed="false">
      <c r="V431" s="1"/>
      <c r="W431" s="1"/>
      <c r="X431" s="1"/>
      <c r="Y431" s="1"/>
    </row>
    <row r="432" customFormat="false" ht="15.75" hidden="false" customHeight="true" outlineLevel="0" collapsed="false">
      <c r="V432" s="1"/>
      <c r="W432" s="1"/>
      <c r="X432" s="1"/>
      <c r="Y432" s="1"/>
    </row>
    <row r="433" customFormat="false" ht="15.75" hidden="false" customHeight="true" outlineLevel="0" collapsed="false">
      <c r="V433" s="1"/>
      <c r="W433" s="1"/>
      <c r="X433" s="1"/>
      <c r="Y433" s="1"/>
    </row>
    <row r="434" customFormat="false" ht="15.75" hidden="false" customHeight="true" outlineLevel="0" collapsed="false">
      <c r="V434" s="1"/>
      <c r="W434" s="1"/>
      <c r="X434" s="1"/>
      <c r="Y434" s="1"/>
    </row>
    <row r="435" customFormat="false" ht="15.75" hidden="false" customHeight="true" outlineLevel="0" collapsed="false">
      <c r="V435" s="1"/>
      <c r="W435" s="1"/>
      <c r="X435" s="1"/>
      <c r="Y435" s="1"/>
    </row>
    <row r="436" customFormat="false" ht="15.75" hidden="false" customHeight="true" outlineLevel="0" collapsed="false">
      <c r="V436" s="1"/>
      <c r="W436" s="1"/>
      <c r="X436" s="1"/>
      <c r="Y436" s="1"/>
    </row>
    <row r="437" customFormat="false" ht="15.75" hidden="false" customHeight="true" outlineLevel="0" collapsed="false">
      <c r="V437" s="1"/>
      <c r="W437" s="1"/>
      <c r="X437" s="1"/>
      <c r="Y437" s="1"/>
    </row>
    <row r="438" customFormat="false" ht="15.75" hidden="false" customHeight="true" outlineLevel="0" collapsed="false">
      <c r="V438" s="1"/>
      <c r="W438" s="1"/>
      <c r="X438" s="1"/>
      <c r="Y438" s="1"/>
    </row>
    <row r="439" customFormat="false" ht="15.75" hidden="false" customHeight="true" outlineLevel="0" collapsed="false">
      <c r="V439" s="1"/>
      <c r="W439" s="1"/>
      <c r="X439" s="1"/>
      <c r="Y439" s="1"/>
    </row>
    <row r="440" customFormat="false" ht="15.75" hidden="false" customHeight="true" outlineLevel="0" collapsed="false">
      <c r="V440" s="1"/>
      <c r="W440" s="1"/>
      <c r="X440" s="1"/>
      <c r="Y440" s="1"/>
    </row>
    <row r="441" customFormat="false" ht="15.75" hidden="false" customHeight="true" outlineLevel="0" collapsed="false">
      <c r="V441" s="1"/>
      <c r="W441" s="1"/>
      <c r="X441" s="1"/>
      <c r="Y441" s="1"/>
    </row>
    <row r="442" customFormat="false" ht="15.75" hidden="false" customHeight="true" outlineLevel="0" collapsed="false">
      <c r="V442" s="1"/>
      <c r="W442" s="1"/>
      <c r="X442" s="1"/>
      <c r="Y442" s="1"/>
    </row>
    <row r="443" customFormat="false" ht="15.75" hidden="false" customHeight="true" outlineLevel="0" collapsed="false">
      <c r="V443" s="1"/>
      <c r="W443" s="1"/>
      <c r="X443" s="1"/>
      <c r="Y443" s="1"/>
    </row>
    <row r="444" customFormat="false" ht="15.75" hidden="false" customHeight="true" outlineLevel="0" collapsed="false">
      <c r="V444" s="1"/>
      <c r="W444" s="1"/>
      <c r="X444" s="1"/>
      <c r="Y444" s="1"/>
    </row>
    <row r="445" customFormat="false" ht="15.75" hidden="false" customHeight="true" outlineLevel="0" collapsed="false">
      <c r="V445" s="1"/>
      <c r="W445" s="1"/>
      <c r="X445" s="1"/>
      <c r="Y445" s="1"/>
    </row>
    <row r="446" customFormat="false" ht="15.75" hidden="false" customHeight="true" outlineLevel="0" collapsed="false">
      <c r="V446" s="1"/>
      <c r="W446" s="1"/>
      <c r="X446" s="1"/>
      <c r="Y446" s="1"/>
    </row>
    <row r="447" customFormat="false" ht="15.75" hidden="false" customHeight="true" outlineLevel="0" collapsed="false">
      <c r="V447" s="1"/>
      <c r="W447" s="1"/>
      <c r="X447" s="1"/>
      <c r="Y447" s="1"/>
    </row>
    <row r="448" customFormat="false" ht="15.75" hidden="false" customHeight="true" outlineLevel="0" collapsed="false">
      <c r="V448" s="1"/>
      <c r="W448" s="1"/>
      <c r="X448" s="1"/>
      <c r="Y448" s="1"/>
    </row>
    <row r="449" customFormat="false" ht="15.75" hidden="false" customHeight="true" outlineLevel="0" collapsed="false">
      <c r="V449" s="1"/>
      <c r="W449" s="1"/>
      <c r="X449" s="1"/>
      <c r="Y449" s="1"/>
    </row>
    <row r="450" customFormat="false" ht="15.75" hidden="false" customHeight="true" outlineLevel="0" collapsed="false">
      <c r="V450" s="1"/>
      <c r="W450" s="1"/>
      <c r="X450" s="1"/>
      <c r="Y450" s="1"/>
    </row>
    <row r="451" customFormat="false" ht="15.75" hidden="false" customHeight="true" outlineLevel="0" collapsed="false">
      <c r="V451" s="1"/>
      <c r="W451" s="1"/>
      <c r="X451" s="1"/>
      <c r="Y451" s="1"/>
    </row>
    <row r="452" customFormat="false" ht="15.75" hidden="false" customHeight="true" outlineLevel="0" collapsed="false">
      <c r="V452" s="1"/>
      <c r="W452" s="1"/>
      <c r="X452" s="1"/>
      <c r="Y452" s="1"/>
    </row>
    <row r="453" customFormat="false" ht="15.75" hidden="false" customHeight="true" outlineLevel="0" collapsed="false">
      <c r="V453" s="1"/>
      <c r="W453" s="1"/>
      <c r="X453" s="1"/>
      <c r="Y453" s="1"/>
    </row>
    <row r="454" customFormat="false" ht="15.75" hidden="false" customHeight="true" outlineLevel="0" collapsed="false">
      <c r="V454" s="1"/>
      <c r="W454" s="1"/>
      <c r="X454" s="1"/>
      <c r="Y454" s="1"/>
    </row>
    <row r="455" customFormat="false" ht="15.75" hidden="false" customHeight="true" outlineLevel="0" collapsed="false">
      <c r="V455" s="1"/>
      <c r="W455" s="1"/>
      <c r="X455" s="1"/>
      <c r="Y455" s="1"/>
    </row>
    <row r="456" customFormat="false" ht="15.75" hidden="false" customHeight="true" outlineLevel="0" collapsed="false">
      <c r="V456" s="1"/>
      <c r="W456" s="1"/>
      <c r="X456" s="1"/>
      <c r="Y456" s="1"/>
    </row>
    <row r="457" customFormat="false" ht="15.75" hidden="false" customHeight="true" outlineLevel="0" collapsed="false">
      <c r="V457" s="1"/>
      <c r="W457" s="1"/>
      <c r="X457" s="1"/>
      <c r="Y457" s="1"/>
    </row>
    <row r="458" customFormat="false" ht="15.75" hidden="false" customHeight="true" outlineLevel="0" collapsed="false">
      <c r="V458" s="1"/>
      <c r="W458" s="1"/>
      <c r="X458" s="1"/>
      <c r="Y458" s="1"/>
    </row>
    <row r="459" customFormat="false" ht="15.75" hidden="false" customHeight="true" outlineLevel="0" collapsed="false">
      <c r="V459" s="1"/>
      <c r="W459" s="1"/>
      <c r="X459" s="1"/>
      <c r="Y459" s="1"/>
    </row>
    <row r="460" customFormat="false" ht="15.75" hidden="false" customHeight="true" outlineLevel="0" collapsed="false">
      <c r="V460" s="1"/>
      <c r="W460" s="1"/>
      <c r="X460" s="1"/>
      <c r="Y460" s="1"/>
    </row>
    <row r="461" customFormat="false" ht="15.75" hidden="false" customHeight="true" outlineLevel="0" collapsed="false">
      <c r="V461" s="1"/>
      <c r="W461" s="1"/>
      <c r="X461" s="1"/>
      <c r="Y461" s="1"/>
    </row>
    <row r="462" customFormat="false" ht="15.75" hidden="false" customHeight="true" outlineLevel="0" collapsed="false">
      <c r="V462" s="1"/>
      <c r="W462" s="1"/>
      <c r="X462" s="1"/>
      <c r="Y462" s="1"/>
    </row>
    <row r="463" customFormat="false" ht="15.75" hidden="false" customHeight="true" outlineLevel="0" collapsed="false">
      <c r="V463" s="1"/>
      <c r="W463" s="1"/>
      <c r="X463" s="1"/>
      <c r="Y463" s="1"/>
    </row>
    <row r="464" customFormat="false" ht="15.75" hidden="false" customHeight="true" outlineLevel="0" collapsed="false">
      <c r="V464" s="1"/>
      <c r="W464" s="1"/>
      <c r="X464" s="1"/>
      <c r="Y464" s="1"/>
    </row>
    <row r="465" customFormat="false" ht="15.75" hidden="false" customHeight="true" outlineLevel="0" collapsed="false">
      <c r="V465" s="1"/>
      <c r="W465" s="1"/>
      <c r="X465" s="1"/>
      <c r="Y465" s="1"/>
    </row>
    <row r="466" customFormat="false" ht="15.75" hidden="false" customHeight="true" outlineLevel="0" collapsed="false">
      <c r="V466" s="1"/>
      <c r="W466" s="1"/>
      <c r="X466" s="1"/>
      <c r="Y466" s="1"/>
    </row>
    <row r="467" customFormat="false" ht="15.75" hidden="false" customHeight="true" outlineLevel="0" collapsed="false">
      <c r="V467" s="1"/>
      <c r="W467" s="1"/>
      <c r="X467" s="1"/>
      <c r="Y467" s="1"/>
    </row>
    <row r="468" customFormat="false" ht="15.75" hidden="false" customHeight="true" outlineLevel="0" collapsed="false">
      <c r="V468" s="1"/>
      <c r="W468" s="1"/>
      <c r="X468" s="1"/>
      <c r="Y468" s="1"/>
    </row>
    <row r="469" customFormat="false" ht="15.75" hidden="false" customHeight="true" outlineLevel="0" collapsed="false">
      <c r="V469" s="1"/>
      <c r="W469" s="1"/>
      <c r="X469" s="1"/>
      <c r="Y469" s="1"/>
    </row>
    <row r="470" customFormat="false" ht="15.75" hidden="false" customHeight="true" outlineLevel="0" collapsed="false">
      <c r="V470" s="1"/>
      <c r="W470" s="1"/>
      <c r="X470" s="1"/>
      <c r="Y470" s="1"/>
    </row>
    <row r="471" customFormat="false" ht="15.75" hidden="false" customHeight="true" outlineLevel="0" collapsed="false">
      <c r="V471" s="1"/>
      <c r="W471" s="1"/>
      <c r="X471" s="1"/>
      <c r="Y471" s="1"/>
    </row>
    <row r="472" customFormat="false" ht="15.75" hidden="false" customHeight="true" outlineLevel="0" collapsed="false">
      <c r="V472" s="1"/>
      <c r="W472" s="1"/>
      <c r="X472" s="1"/>
      <c r="Y472" s="1"/>
    </row>
    <row r="473" customFormat="false" ht="15.75" hidden="false" customHeight="true" outlineLevel="0" collapsed="false">
      <c r="V473" s="1"/>
      <c r="W473" s="1"/>
      <c r="X473" s="1"/>
      <c r="Y473" s="1"/>
    </row>
    <row r="474" customFormat="false" ht="15.75" hidden="false" customHeight="true" outlineLevel="0" collapsed="false">
      <c r="V474" s="1"/>
      <c r="W474" s="1"/>
      <c r="X474" s="1"/>
      <c r="Y474" s="1"/>
    </row>
    <row r="475" customFormat="false" ht="15.75" hidden="false" customHeight="true" outlineLevel="0" collapsed="false">
      <c r="V475" s="1"/>
      <c r="W475" s="1"/>
      <c r="X475" s="1"/>
      <c r="Y475" s="1"/>
    </row>
    <row r="476" customFormat="false" ht="15.75" hidden="false" customHeight="true" outlineLevel="0" collapsed="false">
      <c r="V476" s="1"/>
      <c r="W476" s="1"/>
      <c r="X476" s="1"/>
      <c r="Y476" s="1"/>
    </row>
    <row r="477" customFormat="false" ht="15.75" hidden="false" customHeight="true" outlineLevel="0" collapsed="false">
      <c r="V477" s="1"/>
      <c r="W477" s="1"/>
      <c r="X477" s="1"/>
      <c r="Y477" s="1"/>
    </row>
    <row r="478" customFormat="false" ht="15.75" hidden="false" customHeight="true" outlineLevel="0" collapsed="false">
      <c r="V478" s="1"/>
      <c r="W478" s="1"/>
      <c r="X478" s="1"/>
      <c r="Y478" s="1"/>
    </row>
    <row r="479" customFormat="false" ht="15.75" hidden="false" customHeight="true" outlineLevel="0" collapsed="false">
      <c r="V479" s="1"/>
      <c r="W479" s="1"/>
      <c r="X479" s="1"/>
      <c r="Y479" s="1"/>
    </row>
    <row r="480" customFormat="false" ht="15.75" hidden="false" customHeight="true" outlineLevel="0" collapsed="false">
      <c r="V480" s="1"/>
      <c r="W480" s="1"/>
      <c r="X480" s="1"/>
      <c r="Y480" s="1"/>
    </row>
    <row r="481" customFormat="false" ht="15.75" hidden="false" customHeight="true" outlineLevel="0" collapsed="false">
      <c r="V481" s="1"/>
      <c r="W481" s="1"/>
      <c r="X481" s="1"/>
      <c r="Y481" s="1"/>
    </row>
    <row r="482" customFormat="false" ht="15.75" hidden="false" customHeight="true" outlineLevel="0" collapsed="false">
      <c r="V482" s="1"/>
      <c r="W482" s="1"/>
      <c r="X482" s="1"/>
      <c r="Y482" s="1"/>
    </row>
    <row r="483" customFormat="false" ht="15.75" hidden="false" customHeight="true" outlineLevel="0" collapsed="false">
      <c r="V483" s="1"/>
      <c r="W483" s="1"/>
      <c r="X483" s="1"/>
      <c r="Y483" s="1"/>
    </row>
    <row r="484" customFormat="false" ht="15.75" hidden="false" customHeight="true" outlineLevel="0" collapsed="false">
      <c r="V484" s="1"/>
      <c r="W484" s="1"/>
      <c r="X484" s="1"/>
      <c r="Y484" s="1"/>
    </row>
    <row r="485" customFormat="false" ht="15.75" hidden="false" customHeight="true" outlineLevel="0" collapsed="false">
      <c r="V485" s="1"/>
      <c r="W485" s="1"/>
      <c r="X485" s="1"/>
      <c r="Y485" s="1"/>
    </row>
    <row r="486" customFormat="false" ht="15.75" hidden="false" customHeight="true" outlineLevel="0" collapsed="false">
      <c r="V486" s="1"/>
      <c r="W486" s="1"/>
      <c r="X486" s="1"/>
      <c r="Y486" s="1"/>
    </row>
    <row r="487" customFormat="false" ht="15.75" hidden="false" customHeight="true" outlineLevel="0" collapsed="false">
      <c r="V487" s="1"/>
      <c r="W487" s="1"/>
      <c r="X487" s="1"/>
      <c r="Y487" s="1"/>
    </row>
    <row r="488" customFormat="false" ht="15.75" hidden="false" customHeight="true" outlineLevel="0" collapsed="false">
      <c r="V488" s="1"/>
      <c r="W488" s="1"/>
      <c r="X488" s="1"/>
      <c r="Y488" s="1"/>
    </row>
    <row r="489" customFormat="false" ht="15.75" hidden="false" customHeight="true" outlineLevel="0" collapsed="false">
      <c r="V489" s="1"/>
      <c r="W489" s="1"/>
      <c r="X489" s="1"/>
      <c r="Y489" s="1"/>
    </row>
    <row r="490" customFormat="false" ht="15.75" hidden="false" customHeight="true" outlineLevel="0" collapsed="false">
      <c r="V490" s="1"/>
      <c r="W490" s="1"/>
      <c r="X490" s="1"/>
      <c r="Y490" s="1"/>
    </row>
    <row r="491" customFormat="false" ht="15.75" hidden="false" customHeight="true" outlineLevel="0" collapsed="false">
      <c r="V491" s="1"/>
      <c r="W491" s="1"/>
      <c r="X491" s="1"/>
      <c r="Y491" s="1"/>
    </row>
    <row r="492" customFormat="false" ht="15.75" hidden="false" customHeight="true" outlineLevel="0" collapsed="false">
      <c r="V492" s="1"/>
      <c r="W492" s="1"/>
      <c r="X492" s="1"/>
      <c r="Y492" s="1"/>
    </row>
    <row r="493" customFormat="false" ht="15.75" hidden="false" customHeight="true" outlineLevel="0" collapsed="false">
      <c r="V493" s="1"/>
      <c r="W493" s="1"/>
      <c r="X493" s="1"/>
      <c r="Y493" s="1"/>
    </row>
    <row r="494" customFormat="false" ht="15.75" hidden="false" customHeight="true" outlineLevel="0" collapsed="false">
      <c r="V494" s="1"/>
      <c r="W494" s="1"/>
      <c r="X494" s="1"/>
      <c r="Y494" s="1"/>
    </row>
    <row r="495" customFormat="false" ht="15.75" hidden="false" customHeight="true" outlineLevel="0" collapsed="false">
      <c r="V495" s="1"/>
      <c r="W495" s="1"/>
      <c r="X495" s="1"/>
      <c r="Y495" s="1"/>
    </row>
    <row r="496" customFormat="false" ht="15.75" hidden="false" customHeight="true" outlineLevel="0" collapsed="false">
      <c r="V496" s="1"/>
      <c r="W496" s="1"/>
      <c r="X496" s="1"/>
      <c r="Y496" s="1"/>
    </row>
    <row r="497" customFormat="false" ht="15.75" hidden="false" customHeight="true" outlineLevel="0" collapsed="false">
      <c r="V497" s="1"/>
      <c r="W497" s="1"/>
      <c r="X497" s="1"/>
      <c r="Y497" s="1"/>
    </row>
    <row r="498" customFormat="false" ht="15.75" hidden="false" customHeight="true" outlineLevel="0" collapsed="false">
      <c r="V498" s="1"/>
      <c r="W498" s="1"/>
      <c r="X498" s="1"/>
      <c r="Y498" s="1"/>
    </row>
    <row r="499" customFormat="false" ht="15.75" hidden="false" customHeight="true" outlineLevel="0" collapsed="false">
      <c r="V499" s="1"/>
      <c r="W499" s="1"/>
      <c r="X499" s="1"/>
      <c r="Y499" s="1"/>
    </row>
    <row r="500" customFormat="false" ht="15.75" hidden="false" customHeight="true" outlineLevel="0" collapsed="false">
      <c r="V500" s="1"/>
      <c r="W500" s="1"/>
      <c r="X500" s="1"/>
      <c r="Y500" s="1"/>
    </row>
    <row r="501" customFormat="false" ht="15.75" hidden="false" customHeight="true" outlineLevel="0" collapsed="false">
      <c r="V501" s="1"/>
      <c r="W501" s="1"/>
      <c r="X501" s="1"/>
      <c r="Y501" s="1"/>
    </row>
    <row r="502" customFormat="false" ht="15.75" hidden="false" customHeight="true" outlineLevel="0" collapsed="false">
      <c r="V502" s="1"/>
      <c r="W502" s="1"/>
      <c r="X502" s="1"/>
      <c r="Y502" s="1"/>
    </row>
    <row r="503" customFormat="false" ht="15.75" hidden="false" customHeight="true" outlineLevel="0" collapsed="false">
      <c r="V503" s="1"/>
      <c r="W503" s="1"/>
      <c r="X503" s="1"/>
      <c r="Y503" s="1"/>
    </row>
    <row r="504" customFormat="false" ht="15.75" hidden="false" customHeight="true" outlineLevel="0" collapsed="false">
      <c r="V504" s="1"/>
      <c r="W504" s="1"/>
      <c r="X504" s="1"/>
      <c r="Y504" s="1"/>
    </row>
    <row r="505" customFormat="false" ht="15.75" hidden="false" customHeight="true" outlineLevel="0" collapsed="false">
      <c r="V505" s="1"/>
      <c r="W505" s="1"/>
      <c r="X505" s="1"/>
      <c r="Y505" s="1"/>
    </row>
    <row r="506" customFormat="false" ht="15.75" hidden="false" customHeight="true" outlineLevel="0" collapsed="false">
      <c r="V506" s="1"/>
      <c r="W506" s="1"/>
      <c r="X506" s="1"/>
      <c r="Y506" s="1"/>
    </row>
    <row r="507" customFormat="false" ht="15.75" hidden="false" customHeight="true" outlineLevel="0" collapsed="false">
      <c r="V507" s="1"/>
      <c r="W507" s="1"/>
      <c r="X507" s="1"/>
      <c r="Y507" s="1"/>
    </row>
    <row r="508" customFormat="false" ht="15.75" hidden="false" customHeight="true" outlineLevel="0" collapsed="false">
      <c r="V508" s="1"/>
      <c r="W508" s="1"/>
      <c r="X508" s="1"/>
      <c r="Y508" s="1"/>
    </row>
    <row r="509" customFormat="false" ht="15.75" hidden="false" customHeight="true" outlineLevel="0" collapsed="false">
      <c r="V509" s="1"/>
      <c r="W509" s="1"/>
      <c r="X509" s="1"/>
      <c r="Y509" s="1"/>
    </row>
    <row r="510" customFormat="false" ht="15.75" hidden="false" customHeight="true" outlineLevel="0" collapsed="false">
      <c r="V510" s="1"/>
      <c r="W510" s="1"/>
      <c r="X510" s="1"/>
      <c r="Y510" s="1"/>
    </row>
    <row r="511" customFormat="false" ht="15.75" hidden="false" customHeight="true" outlineLevel="0" collapsed="false">
      <c r="V511" s="1"/>
      <c r="W511" s="1"/>
      <c r="X511" s="1"/>
      <c r="Y511" s="1"/>
    </row>
    <row r="512" customFormat="false" ht="15.75" hidden="false" customHeight="true" outlineLevel="0" collapsed="false">
      <c r="V512" s="1"/>
      <c r="W512" s="1"/>
      <c r="X512" s="1"/>
      <c r="Y512" s="1"/>
    </row>
    <row r="513" customFormat="false" ht="15.75" hidden="false" customHeight="true" outlineLevel="0" collapsed="false">
      <c r="V513" s="1"/>
      <c r="W513" s="1"/>
      <c r="X513" s="1"/>
      <c r="Y513" s="1"/>
    </row>
    <row r="514" customFormat="false" ht="15.75" hidden="false" customHeight="true" outlineLevel="0" collapsed="false">
      <c r="V514" s="1"/>
      <c r="W514" s="1"/>
      <c r="X514" s="1"/>
      <c r="Y514" s="1"/>
    </row>
    <row r="515" customFormat="false" ht="15.75" hidden="false" customHeight="true" outlineLevel="0" collapsed="false">
      <c r="V515" s="1"/>
      <c r="W515" s="1"/>
      <c r="X515" s="1"/>
      <c r="Y515" s="1"/>
    </row>
    <row r="516" customFormat="false" ht="15.75" hidden="false" customHeight="true" outlineLevel="0" collapsed="false">
      <c r="V516" s="1"/>
      <c r="W516" s="1"/>
      <c r="X516" s="1"/>
      <c r="Y516" s="1"/>
    </row>
    <row r="517" customFormat="false" ht="15.75" hidden="false" customHeight="true" outlineLevel="0" collapsed="false">
      <c r="V517" s="1"/>
      <c r="W517" s="1"/>
      <c r="X517" s="1"/>
      <c r="Y517" s="1"/>
    </row>
    <row r="518" customFormat="false" ht="15.75" hidden="false" customHeight="true" outlineLevel="0" collapsed="false">
      <c r="V518" s="1"/>
      <c r="W518" s="1"/>
      <c r="X518" s="1"/>
      <c r="Y518" s="1"/>
    </row>
    <row r="519" customFormat="false" ht="15.75" hidden="false" customHeight="true" outlineLevel="0" collapsed="false">
      <c r="V519" s="1"/>
      <c r="W519" s="1"/>
      <c r="X519" s="1"/>
      <c r="Y519" s="1"/>
    </row>
    <row r="520" customFormat="false" ht="15.75" hidden="false" customHeight="true" outlineLevel="0" collapsed="false">
      <c r="V520" s="1"/>
      <c r="W520" s="1"/>
      <c r="X520" s="1"/>
      <c r="Y520" s="1"/>
    </row>
    <row r="521" customFormat="false" ht="15.75" hidden="false" customHeight="true" outlineLevel="0" collapsed="false">
      <c r="V521" s="1"/>
      <c r="W521" s="1"/>
      <c r="X521" s="1"/>
      <c r="Y521" s="1"/>
    </row>
    <row r="522" customFormat="false" ht="15.75" hidden="false" customHeight="true" outlineLevel="0" collapsed="false">
      <c r="V522" s="1"/>
      <c r="W522" s="1"/>
      <c r="X522" s="1"/>
      <c r="Y522" s="1"/>
    </row>
    <row r="523" customFormat="false" ht="15.75" hidden="false" customHeight="true" outlineLevel="0" collapsed="false">
      <c r="V523" s="1"/>
      <c r="W523" s="1"/>
      <c r="X523" s="1"/>
      <c r="Y523" s="1"/>
    </row>
    <row r="524" customFormat="false" ht="15.75" hidden="false" customHeight="true" outlineLevel="0" collapsed="false">
      <c r="V524" s="1"/>
      <c r="W524" s="1"/>
      <c r="X524" s="1"/>
      <c r="Y524" s="1"/>
    </row>
    <row r="525" customFormat="false" ht="15.75" hidden="false" customHeight="true" outlineLevel="0" collapsed="false">
      <c r="V525" s="1"/>
      <c r="W525" s="1"/>
      <c r="X525" s="1"/>
      <c r="Y525" s="1"/>
    </row>
    <row r="526" customFormat="false" ht="15.75" hidden="false" customHeight="true" outlineLevel="0" collapsed="false">
      <c r="V526" s="1"/>
      <c r="W526" s="1"/>
      <c r="X526" s="1"/>
      <c r="Y526" s="1"/>
    </row>
    <row r="527" customFormat="false" ht="15.75" hidden="false" customHeight="true" outlineLevel="0" collapsed="false">
      <c r="V527" s="1"/>
      <c r="W527" s="1"/>
      <c r="X527" s="1"/>
      <c r="Y527" s="1"/>
    </row>
    <row r="528" customFormat="false" ht="15.75" hidden="false" customHeight="true" outlineLevel="0" collapsed="false">
      <c r="V528" s="1"/>
      <c r="W528" s="1"/>
      <c r="X528" s="1"/>
      <c r="Y528" s="1"/>
    </row>
    <row r="529" customFormat="false" ht="15.75" hidden="false" customHeight="true" outlineLevel="0" collapsed="false">
      <c r="V529" s="1"/>
      <c r="W529" s="1"/>
      <c r="X529" s="1"/>
      <c r="Y529" s="1"/>
    </row>
    <row r="530" customFormat="false" ht="15.75" hidden="false" customHeight="true" outlineLevel="0" collapsed="false">
      <c r="V530" s="1"/>
      <c r="W530" s="1"/>
      <c r="X530" s="1"/>
      <c r="Y530" s="1"/>
    </row>
    <row r="531" customFormat="false" ht="15.75" hidden="false" customHeight="true" outlineLevel="0" collapsed="false">
      <c r="V531" s="1"/>
      <c r="W531" s="1"/>
      <c r="X531" s="1"/>
      <c r="Y531" s="1"/>
    </row>
    <row r="532" customFormat="false" ht="15.75" hidden="false" customHeight="true" outlineLevel="0" collapsed="false">
      <c r="V532" s="1"/>
      <c r="W532" s="1"/>
      <c r="X532" s="1"/>
      <c r="Y532" s="1"/>
    </row>
    <row r="533" customFormat="false" ht="15.75" hidden="false" customHeight="true" outlineLevel="0" collapsed="false">
      <c r="V533" s="1"/>
      <c r="W533" s="1"/>
      <c r="X533" s="1"/>
      <c r="Y533" s="1"/>
    </row>
    <row r="534" customFormat="false" ht="15.75" hidden="false" customHeight="true" outlineLevel="0" collapsed="false">
      <c r="V534" s="1"/>
      <c r="W534" s="1"/>
      <c r="X534" s="1"/>
      <c r="Y534" s="1"/>
    </row>
    <row r="535" customFormat="false" ht="15.75" hidden="false" customHeight="true" outlineLevel="0" collapsed="false">
      <c r="V535" s="1"/>
      <c r="W535" s="1"/>
      <c r="X535" s="1"/>
      <c r="Y535" s="1"/>
    </row>
    <row r="536" customFormat="false" ht="15.75" hidden="false" customHeight="true" outlineLevel="0" collapsed="false">
      <c r="V536" s="1"/>
      <c r="W536" s="1"/>
      <c r="X536" s="1"/>
      <c r="Y536" s="1"/>
    </row>
    <row r="537" customFormat="false" ht="15.75" hidden="false" customHeight="true" outlineLevel="0" collapsed="false">
      <c r="V537" s="1"/>
      <c r="W537" s="1"/>
      <c r="X537" s="1"/>
      <c r="Y537" s="1"/>
    </row>
    <row r="538" customFormat="false" ht="15.75" hidden="false" customHeight="true" outlineLevel="0" collapsed="false">
      <c r="V538" s="1"/>
      <c r="W538" s="1"/>
      <c r="X538" s="1"/>
      <c r="Y538" s="1"/>
    </row>
    <row r="539" customFormat="false" ht="15.75" hidden="false" customHeight="true" outlineLevel="0" collapsed="false">
      <c r="V539" s="1"/>
      <c r="W539" s="1"/>
      <c r="X539" s="1"/>
      <c r="Y539" s="1"/>
    </row>
    <row r="540" customFormat="false" ht="15.75" hidden="false" customHeight="true" outlineLevel="0" collapsed="false">
      <c r="V540" s="1"/>
      <c r="W540" s="1"/>
      <c r="X540" s="1"/>
      <c r="Y540" s="1"/>
    </row>
    <row r="541" customFormat="false" ht="15.75" hidden="false" customHeight="true" outlineLevel="0" collapsed="false">
      <c r="V541" s="1"/>
      <c r="W541" s="1"/>
      <c r="X541" s="1"/>
      <c r="Y541" s="1"/>
    </row>
    <row r="542" customFormat="false" ht="15.75" hidden="false" customHeight="true" outlineLevel="0" collapsed="false">
      <c r="V542" s="1"/>
      <c r="W542" s="1"/>
      <c r="X542" s="1"/>
      <c r="Y542" s="1"/>
    </row>
    <row r="543" customFormat="false" ht="15.75" hidden="false" customHeight="true" outlineLevel="0" collapsed="false">
      <c r="V543" s="1"/>
      <c r="W543" s="1"/>
      <c r="X543" s="1"/>
      <c r="Y543" s="1"/>
    </row>
    <row r="544" customFormat="false" ht="15.75" hidden="false" customHeight="true" outlineLevel="0" collapsed="false">
      <c r="V544" s="1"/>
      <c r="W544" s="1"/>
      <c r="X544" s="1"/>
      <c r="Y544" s="1"/>
    </row>
    <row r="545" customFormat="false" ht="15.75" hidden="false" customHeight="true" outlineLevel="0" collapsed="false">
      <c r="V545" s="1"/>
      <c r="W545" s="1"/>
      <c r="X545" s="1"/>
      <c r="Y545" s="1"/>
    </row>
    <row r="546" customFormat="false" ht="15.75" hidden="false" customHeight="true" outlineLevel="0" collapsed="false">
      <c r="V546" s="1"/>
      <c r="W546" s="1"/>
      <c r="X546" s="1"/>
      <c r="Y546" s="1"/>
    </row>
    <row r="547" customFormat="false" ht="15.75" hidden="false" customHeight="true" outlineLevel="0" collapsed="false">
      <c r="V547" s="1"/>
      <c r="W547" s="1"/>
      <c r="X547" s="1"/>
      <c r="Y547" s="1"/>
    </row>
    <row r="548" customFormat="false" ht="15.75" hidden="false" customHeight="true" outlineLevel="0" collapsed="false">
      <c r="V548" s="1"/>
      <c r="W548" s="1"/>
      <c r="X548" s="1"/>
      <c r="Y548" s="1"/>
    </row>
    <row r="549" customFormat="false" ht="15.75" hidden="false" customHeight="true" outlineLevel="0" collapsed="false">
      <c r="V549" s="1"/>
      <c r="W549" s="1"/>
      <c r="X549" s="1"/>
      <c r="Y549" s="1"/>
    </row>
    <row r="550" customFormat="false" ht="15.75" hidden="false" customHeight="true" outlineLevel="0" collapsed="false">
      <c r="V550" s="1"/>
      <c r="W550" s="1"/>
      <c r="X550" s="1"/>
      <c r="Y550" s="1"/>
    </row>
    <row r="551" customFormat="false" ht="15.75" hidden="false" customHeight="true" outlineLevel="0" collapsed="false">
      <c r="V551" s="1"/>
      <c r="W551" s="1"/>
      <c r="X551" s="1"/>
      <c r="Y551" s="1"/>
    </row>
    <row r="552" customFormat="false" ht="15.75" hidden="false" customHeight="true" outlineLevel="0" collapsed="false">
      <c r="V552" s="1"/>
      <c r="W552" s="1"/>
      <c r="X552" s="1"/>
      <c r="Y552" s="1"/>
    </row>
    <row r="553" customFormat="false" ht="15.75" hidden="false" customHeight="true" outlineLevel="0" collapsed="false">
      <c r="V553" s="1"/>
      <c r="W553" s="1"/>
      <c r="X553" s="1"/>
      <c r="Y553" s="1"/>
    </row>
    <row r="554" customFormat="false" ht="15.75" hidden="false" customHeight="true" outlineLevel="0" collapsed="false">
      <c r="V554" s="1"/>
      <c r="W554" s="1"/>
      <c r="X554" s="1"/>
      <c r="Y554" s="1"/>
    </row>
    <row r="555" customFormat="false" ht="15.75" hidden="false" customHeight="true" outlineLevel="0" collapsed="false">
      <c r="V555" s="1"/>
      <c r="W555" s="1"/>
      <c r="X555" s="1"/>
      <c r="Y555" s="1"/>
    </row>
    <row r="556" customFormat="false" ht="15.75" hidden="false" customHeight="true" outlineLevel="0" collapsed="false">
      <c r="V556" s="1"/>
      <c r="W556" s="1"/>
      <c r="X556" s="1"/>
      <c r="Y556" s="1"/>
    </row>
    <row r="557" customFormat="false" ht="15.75" hidden="false" customHeight="true" outlineLevel="0" collapsed="false">
      <c r="V557" s="1"/>
      <c r="W557" s="1"/>
      <c r="X557" s="1"/>
      <c r="Y557" s="1"/>
    </row>
    <row r="558" customFormat="false" ht="15.75" hidden="false" customHeight="true" outlineLevel="0" collapsed="false">
      <c r="V558" s="1"/>
      <c r="W558" s="1"/>
      <c r="X558" s="1"/>
      <c r="Y558" s="1"/>
    </row>
    <row r="559" customFormat="false" ht="15.75" hidden="false" customHeight="true" outlineLevel="0" collapsed="false">
      <c r="V559" s="1"/>
      <c r="W559" s="1"/>
      <c r="X559" s="1"/>
      <c r="Y559" s="1"/>
    </row>
    <row r="560" customFormat="false" ht="15.75" hidden="false" customHeight="true" outlineLevel="0" collapsed="false">
      <c r="V560" s="1"/>
      <c r="W560" s="1"/>
      <c r="X560" s="1"/>
      <c r="Y560" s="1"/>
    </row>
    <row r="561" customFormat="false" ht="15.75" hidden="false" customHeight="true" outlineLevel="0" collapsed="false">
      <c r="V561" s="1"/>
      <c r="W561" s="1"/>
      <c r="X561" s="1"/>
      <c r="Y561" s="1"/>
    </row>
    <row r="562" customFormat="false" ht="15.75" hidden="false" customHeight="true" outlineLevel="0" collapsed="false">
      <c r="V562" s="1"/>
      <c r="W562" s="1"/>
      <c r="X562" s="1"/>
      <c r="Y562" s="1"/>
    </row>
    <row r="563" customFormat="false" ht="15.75" hidden="false" customHeight="true" outlineLevel="0" collapsed="false">
      <c r="V563" s="1"/>
      <c r="W563" s="1"/>
      <c r="X563" s="1"/>
      <c r="Y563" s="1"/>
    </row>
    <row r="564" customFormat="false" ht="15.75" hidden="false" customHeight="true" outlineLevel="0" collapsed="false">
      <c r="V564" s="1"/>
      <c r="W564" s="1"/>
      <c r="X564" s="1"/>
      <c r="Y564" s="1"/>
    </row>
    <row r="565" customFormat="false" ht="15.75" hidden="false" customHeight="true" outlineLevel="0" collapsed="false">
      <c r="V565" s="1"/>
      <c r="W565" s="1"/>
      <c r="X565" s="1"/>
      <c r="Y565" s="1"/>
    </row>
    <row r="566" customFormat="false" ht="15.75" hidden="false" customHeight="true" outlineLevel="0" collapsed="false">
      <c r="V566" s="1"/>
      <c r="W566" s="1"/>
      <c r="X566" s="1"/>
      <c r="Y566" s="1"/>
    </row>
    <row r="567" customFormat="false" ht="15.75" hidden="false" customHeight="true" outlineLevel="0" collapsed="false">
      <c r="V567" s="1"/>
      <c r="W567" s="1"/>
      <c r="X567" s="1"/>
      <c r="Y567" s="1"/>
    </row>
    <row r="568" customFormat="false" ht="15.75" hidden="false" customHeight="true" outlineLevel="0" collapsed="false">
      <c r="V568" s="1"/>
      <c r="W568" s="1"/>
      <c r="X568" s="1"/>
      <c r="Y568" s="1"/>
    </row>
    <row r="569" customFormat="false" ht="15.75" hidden="false" customHeight="true" outlineLevel="0" collapsed="false">
      <c r="V569" s="1"/>
      <c r="W569" s="1"/>
      <c r="X569" s="1"/>
      <c r="Y569" s="1"/>
    </row>
    <row r="570" customFormat="false" ht="15.75" hidden="false" customHeight="true" outlineLevel="0" collapsed="false">
      <c r="V570" s="1"/>
      <c r="W570" s="1"/>
      <c r="X570" s="1"/>
      <c r="Y570" s="1"/>
    </row>
    <row r="571" customFormat="false" ht="15.75" hidden="false" customHeight="true" outlineLevel="0" collapsed="false">
      <c r="V571" s="1"/>
      <c r="W571" s="1"/>
      <c r="X571" s="1"/>
      <c r="Y571" s="1"/>
    </row>
    <row r="572" customFormat="false" ht="15.75" hidden="false" customHeight="true" outlineLevel="0" collapsed="false">
      <c r="V572" s="1"/>
      <c r="W572" s="1"/>
      <c r="X572" s="1"/>
      <c r="Y572" s="1"/>
    </row>
    <row r="573" customFormat="false" ht="15.75" hidden="false" customHeight="true" outlineLevel="0" collapsed="false">
      <c r="V573" s="1"/>
      <c r="W573" s="1"/>
      <c r="X573" s="1"/>
      <c r="Y573" s="1"/>
    </row>
    <row r="574" customFormat="false" ht="15.75" hidden="false" customHeight="true" outlineLevel="0" collapsed="false">
      <c r="V574" s="1"/>
      <c r="W574" s="1"/>
      <c r="X574" s="1"/>
      <c r="Y574" s="1"/>
    </row>
    <row r="575" customFormat="false" ht="15.75" hidden="false" customHeight="true" outlineLevel="0" collapsed="false">
      <c r="V575" s="1"/>
      <c r="W575" s="1"/>
      <c r="X575" s="1"/>
      <c r="Y575" s="1"/>
    </row>
    <row r="576" customFormat="false" ht="15.75" hidden="false" customHeight="true" outlineLevel="0" collapsed="false">
      <c r="V576" s="1"/>
      <c r="W576" s="1"/>
      <c r="X576" s="1"/>
      <c r="Y576" s="1"/>
    </row>
    <row r="577" customFormat="false" ht="15.75" hidden="false" customHeight="true" outlineLevel="0" collapsed="false">
      <c r="V577" s="1"/>
      <c r="W577" s="1"/>
      <c r="X577" s="1"/>
      <c r="Y577" s="1"/>
    </row>
    <row r="578" customFormat="false" ht="15.75" hidden="false" customHeight="true" outlineLevel="0" collapsed="false">
      <c r="V578" s="1"/>
      <c r="W578" s="1"/>
      <c r="X578" s="1"/>
      <c r="Y578" s="1"/>
    </row>
    <row r="579" customFormat="false" ht="15.75" hidden="false" customHeight="true" outlineLevel="0" collapsed="false">
      <c r="V579" s="1"/>
      <c r="W579" s="1"/>
      <c r="X579" s="1"/>
      <c r="Y579" s="1"/>
    </row>
    <row r="580" customFormat="false" ht="15.75" hidden="false" customHeight="true" outlineLevel="0" collapsed="false">
      <c r="V580" s="1"/>
      <c r="W580" s="1"/>
      <c r="X580" s="1"/>
      <c r="Y580" s="1"/>
    </row>
    <row r="581" customFormat="false" ht="15.75" hidden="false" customHeight="true" outlineLevel="0" collapsed="false">
      <c r="V581" s="1"/>
      <c r="W581" s="1"/>
      <c r="X581" s="1"/>
      <c r="Y581" s="1"/>
    </row>
    <row r="582" customFormat="false" ht="15.75" hidden="false" customHeight="true" outlineLevel="0" collapsed="false">
      <c r="V582" s="1"/>
      <c r="W582" s="1"/>
      <c r="X582" s="1"/>
      <c r="Y582" s="1"/>
    </row>
    <row r="583" customFormat="false" ht="15.75" hidden="false" customHeight="true" outlineLevel="0" collapsed="false">
      <c r="V583" s="1"/>
      <c r="W583" s="1"/>
      <c r="X583" s="1"/>
      <c r="Y583" s="1"/>
    </row>
    <row r="584" customFormat="false" ht="15.75" hidden="false" customHeight="true" outlineLevel="0" collapsed="false">
      <c r="V584" s="1"/>
      <c r="W584" s="1"/>
      <c r="X584" s="1"/>
      <c r="Y584" s="1"/>
    </row>
    <row r="585" customFormat="false" ht="15.75" hidden="false" customHeight="true" outlineLevel="0" collapsed="false">
      <c r="V585" s="1"/>
      <c r="W585" s="1"/>
      <c r="X585" s="1"/>
      <c r="Y585" s="1"/>
    </row>
    <row r="586" customFormat="false" ht="15.75" hidden="false" customHeight="true" outlineLevel="0" collapsed="false">
      <c r="V586" s="1"/>
      <c r="W586" s="1"/>
      <c r="X586" s="1"/>
      <c r="Y586" s="1"/>
    </row>
    <row r="587" customFormat="false" ht="15.75" hidden="false" customHeight="true" outlineLevel="0" collapsed="false">
      <c r="V587" s="1"/>
      <c r="W587" s="1"/>
      <c r="X587" s="1"/>
      <c r="Y587" s="1"/>
    </row>
    <row r="588" customFormat="false" ht="15.75" hidden="false" customHeight="true" outlineLevel="0" collapsed="false">
      <c r="V588" s="1"/>
      <c r="W588" s="1"/>
      <c r="X588" s="1"/>
      <c r="Y588" s="1"/>
    </row>
    <row r="589" customFormat="false" ht="15.75" hidden="false" customHeight="true" outlineLevel="0" collapsed="false">
      <c r="V589" s="1"/>
      <c r="W589" s="1"/>
      <c r="X589" s="1"/>
      <c r="Y589" s="1"/>
    </row>
    <row r="590" customFormat="false" ht="15.75" hidden="false" customHeight="true" outlineLevel="0" collapsed="false">
      <c r="V590" s="1"/>
      <c r="W590" s="1"/>
      <c r="X590" s="1"/>
      <c r="Y590" s="1"/>
    </row>
    <row r="591" customFormat="false" ht="15.75" hidden="false" customHeight="true" outlineLevel="0" collapsed="false">
      <c r="V591" s="1"/>
      <c r="W591" s="1"/>
      <c r="X591" s="1"/>
      <c r="Y591" s="1"/>
    </row>
    <row r="592" customFormat="false" ht="15.75" hidden="false" customHeight="true" outlineLevel="0" collapsed="false">
      <c r="V592" s="1"/>
      <c r="W592" s="1"/>
      <c r="X592" s="1"/>
      <c r="Y592" s="1"/>
    </row>
    <row r="593" customFormat="false" ht="15.75" hidden="false" customHeight="true" outlineLevel="0" collapsed="false">
      <c r="V593" s="1"/>
      <c r="W593" s="1"/>
      <c r="X593" s="1"/>
      <c r="Y593" s="1"/>
    </row>
    <row r="594" customFormat="false" ht="15.75" hidden="false" customHeight="true" outlineLevel="0" collapsed="false">
      <c r="V594" s="1"/>
      <c r="W594" s="1"/>
      <c r="X594" s="1"/>
      <c r="Y594" s="1"/>
    </row>
    <row r="595" customFormat="false" ht="15.75" hidden="false" customHeight="true" outlineLevel="0" collapsed="false">
      <c r="V595" s="1"/>
      <c r="W595" s="1"/>
      <c r="X595" s="1"/>
      <c r="Y595" s="1"/>
    </row>
    <row r="596" customFormat="false" ht="15.75" hidden="false" customHeight="true" outlineLevel="0" collapsed="false">
      <c r="V596" s="1"/>
      <c r="W596" s="1"/>
      <c r="X596" s="1"/>
      <c r="Y596" s="1"/>
    </row>
    <row r="597" customFormat="false" ht="15.75" hidden="false" customHeight="true" outlineLevel="0" collapsed="false">
      <c r="V597" s="1"/>
      <c r="W597" s="1"/>
      <c r="X597" s="1"/>
      <c r="Y597" s="1"/>
    </row>
    <row r="598" customFormat="false" ht="15.75" hidden="false" customHeight="true" outlineLevel="0" collapsed="false">
      <c r="V598" s="1"/>
      <c r="W598" s="1"/>
      <c r="X598" s="1"/>
      <c r="Y598" s="1"/>
    </row>
    <row r="599" customFormat="false" ht="15.75" hidden="false" customHeight="true" outlineLevel="0" collapsed="false">
      <c r="V599" s="1"/>
      <c r="W599" s="1"/>
      <c r="X599" s="1"/>
      <c r="Y599" s="1"/>
    </row>
    <row r="600" customFormat="false" ht="15.75" hidden="false" customHeight="true" outlineLevel="0" collapsed="false">
      <c r="V600" s="1"/>
      <c r="W600" s="1"/>
      <c r="X600" s="1"/>
      <c r="Y600" s="1"/>
    </row>
    <row r="601" customFormat="false" ht="15.75" hidden="false" customHeight="true" outlineLevel="0" collapsed="false">
      <c r="V601" s="1"/>
      <c r="W601" s="1"/>
      <c r="X601" s="1"/>
      <c r="Y601" s="1"/>
    </row>
    <row r="602" customFormat="false" ht="15.75" hidden="false" customHeight="true" outlineLevel="0" collapsed="false">
      <c r="V602" s="1"/>
      <c r="W602" s="1"/>
      <c r="X602" s="1"/>
      <c r="Y602" s="1"/>
    </row>
    <row r="603" customFormat="false" ht="15.75" hidden="false" customHeight="true" outlineLevel="0" collapsed="false">
      <c r="V603" s="1"/>
      <c r="W603" s="1"/>
      <c r="X603" s="1"/>
      <c r="Y603" s="1"/>
    </row>
    <row r="604" customFormat="false" ht="15.75" hidden="false" customHeight="true" outlineLevel="0" collapsed="false">
      <c r="V604" s="1"/>
      <c r="W604" s="1"/>
      <c r="X604" s="1"/>
      <c r="Y604" s="1"/>
    </row>
    <row r="605" customFormat="false" ht="15.75" hidden="false" customHeight="true" outlineLevel="0" collapsed="false">
      <c r="V605" s="1"/>
      <c r="W605" s="1"/>
      <c r="X605" s="1"/>
      <c r="Y605" s="1"/>
    </row>
    <row r="606" customFormat="false" ht="15.75" hidden="false" customHeight="true" outlineLevel="0" collapsed="false">
      <c r="V606" s="1"/>
      <c r="W606" s="1"/>
      <c r="X606" s="1"/>
      <c r="Y606" s="1"/>
    </row>
    <row r="607" customFormat="false" ht="15.75" hidden="false" customHeight="true" outlineLevel="0" collapsed="false">
      <c r="V607" s="1"/>
      <c r="W607" s="1"/>
      <c r="X607" s="1"/>
      <c r="Y607" s="1"/>
    </row>
    <row r="608" customFormat="false" ht="15.75" hidden="false" customHeight="true" outlineLevel="0" collapsed="false">
      <c r="V608" s="1"/>
      <c r="W608" s="1"/>
      <c r="X608" s="1"/>
      <c r="Y608" s="1"/>
    </row>
    <row r="609" customFormat="false" ht="15.75" hidden="false" customHeight="true" outlineLevel="0" collapsed="false">
      <c r="V609" s="1"/>
      <c r="W609" s="1"/>
      <c r="X609" s="1"/>
      <c r="Y609" s="1"/>
    </row>
    <row r="610" customFormat="false" ht="15.75" hidden="false" customHeight="true" outlineLevel="0" collapsed="false">
      <c r="V610" s="1"/>
      <c r="W610" s="1"/>
      <c r="X610" s="1"/>
      <c r="Y610" s="1"/>
    </row>
    <row r="611" customFormat="false" ht="15.75" hidden="false" customHeight="true" outlineLevel="0" collapsed="false">
      <c r="V611" s="1"/>
      <c r="W611" s="1"/>
      <c r="X611" s="1"/>
      <c r="Y611" s="1"/>
    </row>
    <row r="612" customFormat="false" ht="15.75" hidden="false" customHeight="true" outlineLevel="0" collapsed="false">
      <c r="V612" s="1"/>
      <c r="W612" s="1"/>
      <c r="X612" s="1"/>
      <c r="Y612" s="1"/>
    </row>
    <row r="613" customFormat="false" ht="15.75" hidden="false" customHeight="true" outlineLevel="0" collapsed="false">
      <c r="V613" s="1"/>
      <c r="W613" s="1"/>
      <c r="X613" s="1"/>
      <c r="Y613" s="1"/>
    </row>
    <row r="614" customFormat="false" ht="15.75" hidden="false" customHeight="true" outlineLevel="0" collapsed="false">
      <c r="V614" s="1"/>
      <c r="W614" s="1"/>
      <c r="X614" s="1"/>
      <c r="Y614" s="1"/>
    </row>
    <row r="615" customFormat="false" ht="15.75" hidden="false" customHeight="true" outlineLevel="0" collapsed="false">
      <c r="V615" s="1"/>
      <c r="W615" s="1"/>
      <c r="X615" s="1"/>
      <c r="Y615" s="1"/>
    </row>
    <row r="616" customFormat="false" ht="15.75" hidden="false" customHeight="true" outlineLevel="0" collapsed="false">
      <c r="V616" s="1"/>
      <c r="W616" s="1"/>
      <c r="X616" s="1"/>
      <c r="Y616" s="1"/>
    </row>
    <row r="617" customFormat="false" ht="15.75" hidden="false" customHeight="true" outlineLevel="0" collapsed="false">
      <c r="V617" s="1"/>
      <c r="W617" s="1"/>
      <c r="X617" s="1"/>
      <c r="Y617" s="1"/>
    </row>
    <row r="618" customFormat="false" ht="15.75" hidden="false" customHeight="true" outlineLevel="0" collapsed="false">
      <c r="V618" s="1"/>
      <c r="W618" s="1"/>
      <c r="X618" s="1"/>
      <c r="Y618" s="1"/>
    </row>
    <row r="619" customFormat="false" ht="15.75" hidden="false" customHeight="true" outlineLevel="0" collapsed="false">
      <c r="V619" s="1"/>
      <c r="W619" s="1"/>
      <c r="X619" s="1"/>
      <c r="Y619" s="1"/>
    </row>
    <row r="620" customFormat="false" ht="15.75" hidden="false" customHeight="true" outlineLevel="0" collapsed="false">
      <c r="V620" s="1"/>
      <c r="W620" s="1"/>
      <c r="X620" s="1"/>
      <c r="Y620" s="1"/>
    </row>
    <row r="621" customFormat="false" ht="15.75" hidden="false" customHeight="true" outlineLevel="0" collapsed="false">
      <c r="V621" s="1"/>
      <c r="W621" s="1"/>
      <c r="X621" s="1"/>
      <c r="Y621" s="1"/>
    </row>
    <row r="622" customFormat="false" ht="15.75" hidden="false" customHeight="true" outlineLevel="0" collapsed="false">
      <c r="V622" s="1"/>
      <c r="W622" s="1"/>
      <c r="X622" s="1"/>
      <c r="Y622" s="1"/>
    </row>
    <row r="623" customFormat="false" ht="15.75" hidden="false" customHeight="true" outlineLevel="0" collapsed="false">
      <c r="V623" s="1"/>
      <c r="W623" s="1"/>
      <c r="X623" s="1"/>
      <c r="Y623" s="1"/>
    </row>
    <row r="624" customFormat="false" ht="15.75" hidden="false" customHeight="true" outlineLevel="0" collapsed="false">
      <c r="V624" s="1"/>
      <c r="W624" s="1"/>
      <c r="X624" s="1"/>
      <c r="Y624" s="1"/>
    </row>
    <row r="625" customFormat="false" ht="15.75" hidden="false" customHeight="true" outlineLevel="0" collapsed="false">
      <c r="V625" s="1"/>
      <c r="W625" s="1"/>
      <c r="X625" s="1"/>
      <c r="Y625" s="1"/>
    </row>
    <row r="626" customFormat="false" ht="15.75" hidden="false" customHeight="true" outlineLevel="0" collapsed="false">
      <c r="V626" s="1"/>
      <c r="W626" s="1"/>
      <c r="X626" s="1"/>
      <c r="Y626" s="1"/>
    </row>
    <row r="627" customFormat="false" ht="15.75" hidden="false" customHeight="true" outlineLevel="0" collapsed="false">
      <c r="V627" s="1"/>
      <c r="W627" s="1"/>
      <c r="X627" s="1"/>
      <c r="Y627" s="1"/>
    </row>
    <row r="628" customFormat="false" ht="15.75" hidden="false" customHeight="true" outlineLevel="0" collapsed="false">
      <c r="V628" s="1"/>
      <c r="W628" s="1"/>
      <c r="X628" s="1"/>
      <c r="Y628" s="1"/>
    </row>
    <row r="629" customFormat="false" ht="15.75" hidden="false" customHeight="true" outlineLevel="0" collapsed="false">
      <c r="V629" s="1"/>
      <c r="W629" s="1"/>
      <c r="X629" s="1"/>
      <c r="Y629" s="1"/>
    </row>
    <row r="630" customFormat="false" ht="15.75" hidden="false" customHeight="true" outlineLevel="0" collapsed="false">
      <c r="V630" s="1"/>
      <c r="W630" s="1"/>
      <c r="X630" s="1"/>
      <c r="Y630" s="1"/>
    </row>
    <row r="631" customFormat="false" ht="15.75" hidden="false" customHeight="true" outlineLevel="0" collapsed="false">
      <c r="V631" s="1"/>
      <c r="W631" s="1"/>
      <c r="X631" s="1"/>
      <c r="Y631" s="1"/>
    </row>
    <row r="632" customFormat="false" ht="15.75" hidden="false" customHeight="true" outlineLevel="0" collapsed="false">
      <c r="V632" s="1"/>
      <c r="W632" s="1"/>
      <c r="X632" s="1"/>
      <c r="Y632" s="1"/>
    </row>
    <row r="633" customFormat="false" ht="15.75" hidden="false" customHeight="true" outlineLevel="0" collapsed="false">
      <c r="V633" s="1"/>
      <c r="W633" s="1"/>
      <c r="X633" s="1"/>
      <c r="Y633" s="1"/>
    </row>
    <row r="634" customFormat="false" ht="15.75" hidden="false" customHeight="true" outlineLevel="0" collapsed="false">
      <c r="V634" s="1"/>
      <c r="W634" s="1"/>
      <c r="X634" s="1"/>
      <c r="Y634" s="1"/>
    </row>
    <row r="635" customFormat="false" ht="15.75" hidden="false" customHeight="true" outlineLevel="0" collapsed="false">
      <c r="V635" s="1"/>
      <c r="W635" s="1"/>
      <c r="X635" s="1"/>
      <c r="Y635" s="1"/>
    </row>
    <row r="636" customFormat="false" ht="15.75" hidden="false" customHeight="true" outlineLevel="0" collapsed="false">
      <c r="V636" s="1"/>
      <c r="W636" s="1"/>
      <c r="X636" s="1"/>
      <c r="Y636" s="1"/>
    </row>
    <row r="637" customFormat="false" ht="15.75" hidden="false" customHeight="true" outlineLevel="0" collapsed="false">
      <c r="V637" s="1"/>
      <c r="W637" s="1"/>
      <c r="X637" s="1"/>
      <c r="Y637" s="1"/>
    </row>
    <row r="638" customFormat="false" ht="15.75" hidden="false" customHeight="true" outlineLevel="0" collapsed="false">
      <c r="V638" s="1"/>
      <c r="W638" s="1"/>
      <c r="X638" s="1"/>
      <c r="Y638" s="1"/>
    </row>
    <row r="639" customFormat="false" ht="15.75" hidden="false" customHeight="true" outlineLevel="0" collapsed="false">
      <c r="V639" s="1"/>
      <c r="W639" s="1"/>
      <c r="X639" s="1"/>
      <c r="Y639" s="1"/>
    </row>
    <row r="640" customFormat="false" ht="15.75" hidden="false" customHeight="true" outlineLevel="0" collapsed="false">
      <c r="V640" s="1"/>
      <c r="W640" s="1"/>
      <c r="X640" s="1"/>
      <c r="Y640" s="1"/>
    </row>
    <row r="641" customFormat="false" ht="15.75" hidden="false" customHeight="true" outlineLevel="0" collapsed="false">
      <c r="V641" s="1"/>
      <c r="W641" s="1"/>
      <c r="X641" s="1"/>
      <c r="Y641" s="1"/>
    </row>
    <row r="642" customFormat="false" ht="15.75" hidden="false" customHeight="true" outlineLevel="0" collapsed="false">
      <c r="V642" s="1"/>
      <c r="W642" s="1"/>
      <c r="X642" s="1"/>
      <c r="Y642" s="1"/>
    </row>
    <row r="643" customFormat="false" ht="15.75" hidden="false" customHeight="true" outlineLevel="0" collapsed="false">
      <c r="V643" s="1"/>
      <c r="W643" s="1"/>
      <c r="X643" s="1"/>
      <c r="Y643" s="1"/>
    </row>
    <row r="644" customFormat="false" ht="15.75" hidden="false" customHeight="true" outlineLevel="0" collapsed="false">
      <c r="V644" s="1"/>
      <c r="W644" s="1"/>
      <c r="X644" s="1"/>
      <c r="Y644" s="1"/>
    </row>
    <row r="645" customFormat="false" ht="15.75" hidden="false" customHeight="true" outlineLevel="0" collapsed="false">
      <c r="V645" s="1"/>
      <c r="W645" s="1"/>
      <c r="X645" s="1"/>
      <c r="Y645" s="1"/>
    </row>
    <row r="646" customFormat="false" ht="15.75" hidden="false" customHeight="true" outlineLevel="0" collapsed="false">
      <c r="V646" s="1"/>
      <c r="W646" s="1"/>
      <c r="X646" s="1"/>
      <c r="Y646" s="1"/>
    </row>
    <row r="647" customFormat="false" ht="15.75" hidden="false" customHeight="true" outlineLevel="0" collapsed="false">
      <c r="V647" s="1"/>
      <c r="W647" s="1"/>
      <c r="X647" s="1"/>
      <c r="Y647" s="1"/>
    </row>
    <row r="648" customFormat="false" ht="15.75" hidden="false" customHeight="true" outlineLevel="0" collapsed="false">
      <c r="V648" s="1"/>
      <c r="W648" s="1"/>
      <c r="X648" s="1"/>
      <c r="Y648" s="1"/>
    </row>
    <row r="649" customFormat="false" ht="15.75" hidden="false" customHeight="true" outlineLevel="0" collapsed="false">
      <c r="V649" s="1"/>
      <c r="W649" s="1"/>
      <c r="X649" s="1"/>
      <c r="Y649" s="1"/>
    </row>
    <row r="650" customFormat="false" ht="15.75" hidden="false" customHeight="true" outlineLevel="0" collapsed="false">
      <c r="V650" s="1"/>
      <c r="W650" s="1"/>
      <c r="X650" s="1"/>
      <c r="Y650" s="1"/>
    </row>
    <row r="651" customFormat="false" ht="15.75" hidden="false" customHeight="true" outlineLevel="0" collapsed="false">
      <c r="V651" s="1"/>
      <c r="W651" s="1"/>
      <c r="X651" s="1"/>
      <c r="Y651" s="1"/>
    </row>
    <row r="652" customFormat="false" ht="15.75" hidden="false" customHeight="true" outlineLevel="0" collapsed="false">
      <c r="V652" s="1"/>
      <c r="W652" s="1"/>
      <c r="X652" s="1"/>
      <c r="Y652" s="1"/>
    </row>
    <row r="653" customFormat="false" ht="15.75" hidden="false" customHeight="true" outlineLevel="0" collapsed="false">
      <c r="V653" s="1"/>
      <c r="W653" s="1"/>
      <c r="X653" s="1"/>
      <c r="Y653" s="1"/>
    </row>
    <row r="654" customFormat="false" ht="15.75" hidden="false" customHeight="true" outlineLevel="0" collapsed="false">
      <c r="V654" s="1"/>
      <c r="W654" s="1"/>
      <c r="X654" s="1"/>
      <c r="Y654" s="1"/>
    </row>
    <row r="655" customFormat="false" ht="15.75" hidden="false" customHeight="true" outlineLevel="0" collapsed="false">
      <c r="V655" s="1"/>
      <c r="W655" s="1"/>
      <c r="X655" s="1"/>
      <c r="Y655" s="1"/>
    </row>
    <row r="656" customFormat="false" ht="15.75" hidden="false" customHeight="true" outlineLevel="0" collapsed="false">
      <c r="V656" s="1"/>
      <c r="W656" s="1"/>
      <c r="X656" s="1"/>
      <c r="Y656" s="1"/>
    </row>
    <row r="657" customFormat="false" ht="15.75" hidden="false" customHeight="true" outlineLevel="0" collapsed="false">
      <c r="V657" s="1"/>
      <c r="W657" s="1"/>
      <c r="X657" s="1"/>
      <c r="Y657" s="1"/>
    </row>
    <row r="658" customFormat="false" ht="15.75" hidden="false" customHeight="true" outlineLevel="0" collapsed="false">
      <c r="V658" s="1"/>
      <c r="W658" s="1"/>
      <c r="X658" s="1"/>
      <c r="Y658" s="1"/>
    </row>
    <row r="659" customFormat="false" ht="15.75" hidden="false" customHeight="true" outlineLevel="0" collapsed="false">
      <c r="V659" s="1"/>
      <c r="W659" s="1"/>
      <c r="X659" s="1"/>
      <c r="Y659" s="1"/>
    </row>
    <row r="660" customFormat="false" ht="15.75" hidden="false" customHeight="true" outlineLevel="0" collapsed="false">
      <c r="V660" s="1"/>
      <c r="W660" s="1"/>
      <c r="X660" s="1"/>
      <c r="Y660" s="1"/>
    </row>
    <row r="661" customFormat="false" ht="15.75" hidden="false" customHeight="true" outlineLevel="0" collapsed="false">
      <c r="V661" s="1"/>
      <c r="W661" s="1"/>
      <c r="X661" s="1"/>
      <c r="Y661" s="1"/>
    </row>
    <row r="662" customFormat="false" ht="15.75" hidden="false" customHeight="true" outlineLevel="0" collapsed="false">
      <c r="V662" s="1"/>
      <c r="W662" s="1"/>
      <c r="X662" s="1"/>
      <c r="Y662" s="1"/>
    </row>
    <row r="663" customFormat="false" ht="15.75" hidden="false" customHeight="true" outlineLevel="0" collapsed="false">
      <c r="V663" s="1"/>
      <c r="W663" s="1"/>
      <c r="X663" s="1"/>
      <c r="Y663" s="1"/>
    </row>
    <row r="664" customFormat="false" ht="15.75" hidden="false" customHeight="true" outlineLevel="0" collapsed="false">
      <c r="V664" s="1"/>
      <c r="W664" s="1"/>
      <c r="X664" s="1"/>
      <c r="Y664" s="1"/>
    </row>
    <row r="665" customFormat="false" ht="15.75" hidden="false" customHeight="true" outlineLevel="0" collapsed="false">
      <c r="V665" s="1"/>
      <c r="W665" s="1"/>
      <c r="X665" s="1"/>
      <c r="Y665" s="1"/>
    </row>
    <row r="666" customFormat="false" ht="15.75" hidden="false" customHeight="true" outlineLevel="0" collapsed="false">
      <c r="V666" s="1"/>
      <c r="W666" s="1"/>
      <c r="X666" s="1"/>
      <c r="Y666" s="1"/>
    </row>
    <row r="667" customFormat="false" ht="15.75" hidden="false" customHeight="true" outlineLevel="0" collapsed="false">
      <c r="V667" s="1"/>
      <c r="W667" s="1"/>
      <c r="X667" s="1"/>
      <c r="Y667" s="1"/>
    </row>
    <row r="668" customFormat="false" ht="15.75" hidden="false" customHeight="true" outlineLevel="0" collapsed="false">
      <c r="V668" s="1"/>
      <c r="W668" s="1"/>
      <c r="X668" s="1"/>
      <c r="Y668" s="1"/>
    </row>
    <row r="669" customFormat="false" ht="15.75" hidden="false" customHeight="true" outlineLevel="0" collapsed="false">
      <c r="V669" s="1"/>
      <c r="W669" s="1"/>
      <c r="X669" s="1"/>
      <c r="Y669" s="1"/>
    </row>
    <row r="670" customFormat="false" ht="15.75" hidden="false" customHeight="true" outlineLevel="0" collapsed="false">
      <c r="V670" s="1"/>
      <c r="W670" s="1"/>
      <c r="X670" s="1"/>
      <c r="Y670" s="1"/>
    </row>
    <row r="671" customFormat="false" ht="15.75" hidden="false" customHeight="true" outlineLevel="0" collapsed="false">
      <c r="V671" s="1"/>
      <c r="W671" s="1"/>
      <c r="X671" s="1"/>
      <c r="Y671" s="1"/>
    </row>
    <row r="672" customFormat="false" ht="15.75" hidden="false" customHeight="true" outlineLevel="0" collapsed="false">
      <c r="V672" s="1"/>
      <c r="W672" s="1"/>
      <c r="X672" s="1"/>
      <c r="Y672" s="1"/>
    </row>
    <row r="673" customFormat="false" ht="15.75" hidden="false" customHeight="true" outlineLevel="0" collapsed="false">
      <c r="V673" s="1"/>
      <c r="W673" s="1"/>
      <c r="X673" s="1"/>
      <c r="Y673" s="1"/>
    </row>
    <row r="674" customFormat="false" ht="15.75" hidden="false" customHeight="true" outlineLevel="0" collapsed="false">
      <c r="V674" s="1"/>
      <c r="W674" s="1"/>
      <c r="X674" s="1"/>
      <c r="Y674" s="1"/>
    </row>
    <row r="675" customFormat="false" ht="15.75" hidden="false" customHeight="true" outlineLevel="0" collapsed="false">
      <c r="V675" s="1"/>
      <c r="W675" s="1"/>
      <c r="X675" s="1"/>
      <c r="Y675" s="1"/>
    </row>
    <row r="676" customFormat="false" ht="15.75" hidden="false" customHeight="true" outlineLevel="0" collapsed="false">
      <c r="V676" s="1"/>
      <c r="W676" s="1"/>
      <c r="X676" s="1"/>
      <c r="Y676" s="1"/>
    </row>
    <row r="677" customFormat="false" ht="15.75" hidden="false" customHeight="true" outlineLevel="0" collapsed="false">
      <c r="V677" s="1"/>
      <c r="W677" s="1"/>
      <c r="X677" s="1"/>
      <c r="Y677" s="1"/>
    </row>
    <row r="678" customFormat="false" ht="15.75" hidden="false" customHeight="true" outlineLevel="0" collapsed="false">
      <c r="V678" s="1"/>
      <c r="W678" s="1"/>
      <c r="X678" s="1"/>
      <c r="Y678" s="1"/>
    </row>
    <row r="679" customFormat="false" ht="15.75" hidden="false" customHeight="true" outlineLevel="0" collapsed="false">
      <c r="V679" s="1"/>
      <c r="W679" s="1"/>
      <c r="X679" s="1"/>
      <c r="Y679" s="1"/>
    </row>
    <row r="680" customFormat="false" ht="15.75" hidden="false" customHeight="true" outlineLevel="0" collapsed="false">
      <c r="V680" s="1"/>
      <c r="W680" s="1"/>
      <c r="X680" s="1"/>
      <c r="Y680" s="1"/>
    </row>
    <row r="681" customFormat="false" ht="15.75" hidden="false" customHeight="true" outlineLevel="0" collapsed="false">
      <c r="V681" s="1"/>
      <c r="W681" s="1"/>
      <c r="X681" s="1"/>
      <c r="Y681" s="1"/>
    </row>
    <row r="682" customFormat="false" ht="15.75" hidden="false" customHeight="true" outlineLevel="0" collapsed="false">
      <c r="V682" s="1"/>
      <c r="W682" s="1"/>
      <c r="X682" s="1"/>
      <c r="Y682" s="1"/>
    </row>
    <row r="683" customFormat="false" ht="15.75" hidden="false" customHeight="true" outlineLevel="0" collapsed="false">
      <c r="V683" s="1"/>
      <c r="W683" s="1"/>
      <c r="X683" s="1"/>
      <c r="Y683" s="1"/>
    </row>
    <row r="684" customFormat="false" ht="15.75" hidden="false" customHeight="true" outlineLevel="0" collapsed="false">
      <c r="V684" s="1"/>
      <c r="W684" s="1"/>
      <c r="X684" s="1"/>
      <c r="Y684" s="1"/>
    </row>
    <row r="685" customFormat="false" ht="15.75" hidden="false" customHeight="true" outlineLevel="0" collapsed="false">
      <c r="V685" s="1"/>
      <c r="W685" s="1"/>
      <c r="X685" s="1"/>
      <c r="Y685" s="1"/>
    </row>
    <row r="686" customFormat="false" ht="15.75" hidden="false" customHeight="true" outlineLevel="0" collapsed="false">
      <c r="V686" s="1"/>
      <c r="W686" s="1"/>
      <c r="X686" s="1"/>
      <c r="Y686" s="1"/>
    </row>
    <row r="687" customFormat="false" ht="15.75" hidden="false" customHeight="true" outlineLevel="0" collapsed="false">
      <c r="V687" s="1"/>
      <c r="W687" s="1"/>
      <c r="X687" s="1"/>
      <c r="Y687" s="1"/>
    </row>
    <row r="688" customFormat="false" ht="15.75" hidden="false" customHeight="true" outlineLevel="0" collapsed="false">
      <c r="V688" s="1"/>
      <c r="W688" s="1"/>
      <c r="X688" s="1"/>
      <c r="Y688" s="1"/>
    </row>
    <row r="689" customFormat="false" ht="15.75" hidden="false" customHeight="true" outlineLevel="0" collapsed="false">
      <c r="V689" s="1"/>
      <c r="W689" s="1"/>
      <c r="X689" s="1"/>
      <c r="Y689" s="1"/>
    </row>
    <row r="690" customFormat="false" ht="15.75" hidden="false" customHeight="true" outlineLevel="0" collapsed="false">
      <c r="V690" s="1"/>
      <c r="W690" s="1"/>
      <c r="X690" s="1"/>
      <c r="Y690" s="1"/>
    </row>
    <row r="691" customFormat="false" ht="15.75" hidden="false" customHeight="true" outlineLevel="0" collapsed="false">
      <c r="V691" s="1"/>
      <c r="W691" s="1"/>
      <c r="X691" s="1"/>
      <c r="Y691" s="1"/>
    </row>
    <row r="692" customFormat="false" ht="15.75" hidden="false" customHeight="true" outlineLevel="0" collapsed="false">
      <c r="V692" s="1"/>
      <c r="W692" s="1"/>
      <c r="X692" s="1"/>
      <c r="Y692" s="1"/>
    </row>
    <row r="693" customFormat="false" ht="15.75" hidden="false" customHeight="true" outlineLevel="0" collapsed="false">
      <c r="V693" s="1"/>
      <c r="W693" s="1"/>
      <c r="X693" s="1"/>
      <c r="Y693" s="1"/>
    </row>
    <row r="694" customFormat="false" ht="15.75" hidden="false" customHeight="true" outlineLevel="0" collapsed="false">
      <c r="V694" s="1"/>
      <c r="W694" s="1"/>
      <c r="X694" s="1"/>
      <c r="Y694" s="1"/>
    </row>
    <row r="695" customFormat="false" ht="15.75" hidden="false" customHeight="true" outlineLevel="0" collapsed="false">
      <c r="V695" s="1"/>
      <c r="W695" s="1"/>
      <c r="X695" s="1"/>
      <c r="Y695" s="1"/>
    </row>
    <row r="696" customFormat="false" ht="15.75" hidden="false" customHeight="true" outlineLevel="0" collapsed="false">
      <c r="V696" s="1"/>
      <c r="W696" s="1"/>
      <c r="X696" s="1"/>
      <c r="Y696" s="1"/>
    </row>
    <row r="697" customFormat="false" ht="15.75" hidden="false" customHeight="true" outlineLevel="0" collapsed="false">
      <c r="V697" s="1"/>
      <c r="W697" s="1"/>
      <c r="X697" s="1"/>
      <c r="Y697" s="1"/>
    </row>
    <row r="698" customFormat="false" ht="15.75" hidden="false" customHeight="true" outlineLevel="0" collapsed="false">
      <c r="V698" s="1"/>
      <c r="W698" s="1"/>
      <c r="X698" s="1"/>
      <c r="Y698" s="1"/>
    </row>
    <row r="699" customFormat="false" ht="15.75" hidden="false" customHeight="true" outlineLevel="0" collapsed="false">
      <c r="V699" s="1"/>
      <c r="W699" s="1"/>
      <c r="X699" s="1"/>
      <c r="Y699" s="1"/>
    </row>
    <row r="700" customFormat="false" ht="15.75" hidden="false" customHeight="true" outlineLevel="0" collapsed="false">
      <c r="V700" s="1"/>
      <c r="W700" s="1"/>
      <c r="X700" s="1"/>
      <c r="Y700" s="1"/>
    </row>
    <row r="701" customFormat="false" ht="15.75" hidden="false" customHeight="true" outlineLevel="0" collapsed="false">
      <c r="V701" s="1"/>
      <c r="W701" s="1"/>
      <c r="X701" s="1"/>
      <c r="Y701" s="1"/>
    </row>
    <row r="702" customFormat="false" ht="15.75" hidden="false" customHeight="true" outlineLevel="0" collapsed="false">
      <c r="V702" s="1"/>
      <c r="W702" s="1"/>
      <c r="X702" s="1"/>
      <c r="Y702" s="1"/>
    </row>
    <row r="703" customFormat="false" ht="15.75" hidden="false" customHeight="true" outlineLevel="0" collapsed="false">
      <c r="V703" s="1"/>
      <c r="W703" s="1"/>
      <c r="X703" s="1"/>
      <c r="Y703" s="1"/>
    </row>
    <row r="704" customFormat="false" ht="15.75" hidden="false" customHeight="true" outlineLevel="0" collapsed="false">
      <c r="V704" s="1"/>
      <c r="W704" s="1"/>
      <c r="X704" s="1"/>
      <c r="Y704" s="1"/>
    </row>
    <row r="705" customFormat="false" ht="15.75" hidden="false" customHeight="true" outlineLevel="0" collapsed="false">
      <c r="V705" s="1"/>
      <c r="W705" s="1"/>
      <c r="X705" s="1"/>
      <c r="Y705" s="1"/>
    </row>
    <row r="706" customFormat="false" ht="15.75" hidden="false" customHeight="true" outlineLevel="0" collapsed="false">
      <c r="V706" s="1"/>
      <c r="W706" s="1"/>
      <c r="X706" s="1"/>
      <c r="Y706" s="1"/>
    </row>
    <row r="707" customFormat="false" ht="15.75" hidden="false" customHeight="true" outlineLevel="0" collapsed="false">
      <c r="V707" s="1"/>
      <c r="W707" s="1"/>
      <c r="X707" s="1"/>
      <c r="Y707" s="1"/>
    </row>
    <row r="708" customFormat="false" ht="15.75" hidden="false" customHeight="true" outlineLevel="0" collapsed="false">
      <c r="V708" s="1"/>
      <c r="W708" s="1"/>
      <c r="X708" s="1"/>
      <c r="Y708" s="1"/>
    </row>
    <row r="709" customFormat="false" ht="15.75" hidden="false" customHeight="true" outlineLevel="0" collapsed="false">
      <c r="V709" s="1"/>
      <c r="W709" s="1"/>
      <c r="X709" s="1"/>
      <c r="Y709" s="1"/>
    </row>
    <row r="710" customFormat="false" ht="15.75" hidden="false" customHeight="true" outlineLevel="0" collapsed="false">
      <c r="V710" s="1"/>
      <c r="W710" s="1"/>
      <c r="X710" s="1"/>
      <c r="Y710" s="1"/>
    </row>
    <row r="711" customFormat="false" ht="15.75" hidden="false" customHeight="true" outlineLevel="0" collapsed="false">
      <c r="V711" s="1"/>
      <c r="W711" s="1"/>
      <c r="X711" s="1"/>
      <c r="Y711" s="1"/>
    </row>
    <row r="712" customFormat="false" ht="15.75" hidden="false" customHeight="true" outlineLevel="0" collapsed="false">
      <c r="V712" s="1"/>
      <c r="W712" s="1"/>
      <c r="X712" s="1"/>
      <c r="Y712" s="1"/>
    </row>
    <row r="713" customFormat="false" ht="15.75" hidden="false" customHeight="true" outlineLevel="0" collapsed="false">
      <c r="V713" s="1"/>
      <c r="W713" s="1"/>
      <c r="X713" s="1"/>
      <c r="Y713" s="1"/>
    </row>
    <row r="714" customFormat="false" ht="15.75" hidden="false" customHeight="true" outlineLevel="0" collapsed="false">
      <c r="V714" s="1"/>
      <c r="W714" s="1"/>
      <c r="X714" s="1"/>
      <c r="Y714" s="1"/>
    </row>
    <row r="715" customFormat="false" ht="15.75" hidden="false" customHeight="true" outlineLevel="0" collapsed="false">
      <c r="V715" s="1"/>
      <c r="W715" s="1"/>
      <c r="X715" s="1"/>
      <c r="Y715" s="1"/>
    </row>
    <row r="716" customFormat="false" ht="15.75" hidden="false" customHeight="true" outlineLevel="0" collapsed="false">
      <c r="V716" s="1"/>
      <c r="W716" s="1"/>
      <c r="X716" s="1"/>
      <c r="Y716" s="1"/>
    </row>
    <row r="717" customFormat="false" ht="15.75" hidden="false" customHeight="true" outlineLevel="0" collapsed="false">
      <c r="V717" s="1"/>
      <c r="W717" s="1"/>
      <c r="X717" s="1"/>
      <c r="Y717" s="1"/>
    </row>
    <row r="718" customFormat="false" ht="15.75" hidden="false" customHeight="true" outlineLevel="0" collapsed="false">
      <c r="V718" s="1"/>
      <c r="W718" s="1"/>
      <c r="X718" s="1"/>
      <c r="Y718" s="1"/>
    </row>
    <row r="719" customFormat="false" ht="15.75" hidden="false" customHeight="true" outlineLevel="0" collapsed="false">
      <c r="V719" s="1"/>
      <c r="W719" s="1"/>
      <c r="X719" s="1"/>
      <c r="Y719" s="1"/>
    </row>
    <row r="720" customFormat="false" ht="15.75" hidden="false" customHeight="true" outlineLevel="0" collapsed="false">
      <c r="V720" s="1"/>
      <c r="W720" s="1"/>
      <c r="X720" s="1"/>
      <c r="Y720" s="1"/>
    </row>
    <row r="721" customFormat="false" ht="15.75" hidden="false" customHeight="true" outlineLevel="0" collapsed="false">
      <c r="V721" s="1"/>
      <c r="W721" s="1"/>
      <c r="X721" s="1"/>
      <c r="Y721" s="1"/>
    </row>
    <row r="722" customFormat="false" ht="15.75" hidden="false" customHeight="true" outlineLevel="0" collapsed="false">
      <c r="V722" s="1"/>
      <c r="W722" s="1"/>
      <c r="X722" s="1"/>
      <c r="Y722" s="1"/>
    </row>
    <row r="723" customFormat="false" ht="15.75" hidden="false" customHeight="true" outlineLevel="0" collapsed="false">
      <c r="V723" s="1"/>
      <c r="W723" s="1"/>
      <c r="X723" s="1"/>
      <c r="Y723" s="1"/>
    </row>
    <row r="724" customFormat="false" ht="15.75" hidden="false" customHeight="true" outlineLevel="0" collapsed="false">
      <c r="V724" s="1"/>
      <c r="W724" s="1"/>
      <c r="X724" s="1"/>
      <c r="Y724" s="1"/>
    </row>
    <row r="725" customFormat="false" ht="15.75" hidden="false" customHeight="true" outlineLevel="0" collapsed="false">
      <c r="V725" s="1"/>
      <c r="W725" s="1"/>
      <c r="X725" s="1"/>
      <c r="Y725" s="1"/>
    </row>
    <row r="726" customFormat="false" ht="15.75" hidden="false" customHeight="true" outlineLevel="0" collapsed="false">
      <c r="V726" s="1"/>
      <c r="W726" s="1"/>
      <c r="X726" s="1"/>
      <c r="Y726" s="1"/>
    </row>
    <row r="727" customFormat="false" ht="15.75" hidden="false" customHeight="true" outlineLevel="0" collapsed="false">
      <c r="V727" s="1"/>
      <c r="W727" s="1"/>
      <c r="X727" s="1"/>
      <c r="Y727" s="1"/>
    </row>
    <row r="728" customFormat="false" ht="15.75" hidden="false" customHeight="true" outlineLevel="0" collapsed="false">
      <c r="V728" s="1"/>
      <c r="W728" s="1"/>
      <c r="X728" s="1"/>
      <c r="Y728" s="1"/>
    </row>
    <row r="729" customFormat="false" ht="15.75" hidden="false" customHeight="true" outlineLevel="0" collapsed="false">
      <c r="V729" s="1"/>
      <c r="W729" s="1"/>
      <c r="X729" s="1"/>
      <c r="Y729" s="1"/>
    </row>
    <row r="730" customFormat="false" ht="15.75" hidden="false" customHeight="true" outlineLevel="0" collapsed="false">
      <c r="V730" s="1"/>
      <c r="W730" s="1"/>
      <c r="X730" s="1"/>
      <c r="Y730" s="1"/>
    </row>
    <row r="731" customFormat="false" ht="15.75" hidden="false" customHeight="true" outlineLevel="0" collapsed="false">
      <c r="V731" s="1"/>
      <c r="W731" s="1"/>
      <c r="X731" s="1"/>
      <c r="Y731" s="1"/>
    </row>
    <row r="732" customFormat="false" ht="15.75" hidden="false" customHeight="true" outlineLevel="0" collapsed="false">
      <c r="V732" s="1"/>
      <c r="W732" s="1"/>
      <c r="X732" s="1"/>
      <c r="Y732" s="1"/>
    </row>
    <row r="733" customFormat="false" ht="15.75" hidden="false" customHeight="true" outlineLevel="0" collapsed="false">
      <c r="V733" s="1"/>
      <c r="W733" s="1"/>
      <c r="X733" s="1"/>
      <c r="Y733" s="1"/>
    </row>
    <row r="734" customFormat="false" ht="15.75" hidden="false" customHeight="true" outlineLevel="0" collapsed="false">
      <c r="V734" s="1"/>
      <c r="W734" s="1"/>
      <c r="X734" s="1"/>
      <c r="Y734" s="1"/>
    </row>
    <row r="735" customFormat="false" ht="15.75" hidden="false" customHeight="true" outlineLevel="0" collapsed="false">
      <c r="V735" s="1"/>
      <c r="W735" s="1"/>
      <c r="X735" s="1"/>
      <c r="Y735" s="1"/>
    </row>
    <row r="736" customFormat="false" ht="15.75" hidden="false" customHeight="true" outlineLevel="0" collapsed="false">
      <c r="V736" s="1"/>
      <c r="W736" s="1"/>
      <c r="X736" s="1"/>
      <c r="Y736" s="1"/>
    </row>
    <row r="737" customFormat="false" ht="15.75" hidden="false" customHeight="true" outlineLevel="0" collapsed="false">
      <c r="V737" s="1"/>
      <c r="W737" s="1"/>
      <c r="X737" s="1"/>
      <c r="Y737" s="1"/>
    </row>
    <row r="738" customFormat="false" ht="15.75" hidden="false" customHeight="true" outlineLevel="0" collapsed="false">
      <c r="V738" s="1"/>
      <c r="W738" s="1"/>
      <c r="X738" s="1"/>
      <c r="Y738" s="1"/>
    </row>
    <row r="739" customFormat="false" ht="15.75" hidden="false" customHeight="true" outlineLevel="0" collapsed="false">
      <c r="V739" s="1"/>
      <c r="W739" s="1"/>
      <c r="X739" s="1"/>
      <c r="Y739" s="1"/>
    </row>
    <row r="740" customFormat="false" ht="15.75" hidden="false" customHeight="true" outlineLevel="0" collapsed="false">
      <c r="V740" s="1"/>
      <c r="W740" s="1"/>
      <c r="X740" s="1"/>
      <c r="Y740" s="1"/>
    </row>
    <row r="741" customFormat="false" ht="15.75" hidden="false" customHeight="true" outlineLevel="0" collapsed="false">
      <c r="V741" s="1"/>
      <c r="W741" s="1"/>
      <c r="X741" s="1"/>
      <c r="Y741" s="1"/>
    </row>
    <row r="742" customFormat="false" ht="15.75" hidden="false" customHeight="true" outlineLevel="0" collapsed="false">
      <c r="V742" s="1"/>
      <c r="W742" s="1"/>
      <c r="X742" s="1"/>
      <c r="Y742" s="1"/>
    </row>
    <row r="743" customFormat="false" ht="15.75" hidden="false" customHeight="true" outlineLevel="0" collapsed="false">
      <c r="V743" s="1"/>
      <c r="W743" s="1"/>
      <c r="X743" s="1"/>
      <c r="Y743" s="1"/>
    </row>
    <row r="744" customFormat="false" ht="15.75" hidden="false" customHeight="true" outlineLevel="0" collapsed="false">
      <c r="V744" s="1"/>
      <c r="W744" s="1"/>
      <c r="X744" s="1"/>
      <c r="Y744" s="1"/>
    </row>
    <row r="745" customFormat="false" ht="15.75" hidden="false" customHeight="true" outlineLevel="0" collapsed="false">
      <c r="V745" s="1"/>
      <c r="W745" s="1"/>
      <c r="X745" s="1"/>
      <c r="Y745" s="1"/>
    </row>
    <row r="746" customFormat="false" ht="15.75" hidden="false" customHeight="true" outlineLevel="0" collapsed="false">
      <c r="V746" s="1"/>
      <c r="W746" s="1"/>
      <c r="X746" s="1"/>
      <c r="Y746" s="1"/>
    </row>
    <row r="747" customFormat="false" ht="15.75" hidden="false" customHeight="true" outlineLevel="0" collapsed="false">
      <c r="V747" s="1"/>
      <c r="W747" s="1"/>
      <c r="X747" s="1"/>
      <c r="Y747" s="1"/>
    </row>
    <row r="748" customFormat="false" ht="15.75" hidden="false" customHeight="true" outlineLevel="0" collapsed="false">
      <c r="V748" s="1"/>
      <c r="W748" s="1"/>
      <c r="X748" s="1"/>
      <c r="Y748" s="1"/>
    </row>
    <row r="749" customFormat="false" ht="15.75" hidden="false" customHeight="true" outlineLevel="0" collapsed="false">
      <c r="V749" s="1"/>
      <c r="W749" s="1"/>
      <c r="X749" s="1"/>
      <c r="Y749" s="1"/>
    </row>
    <row r="750" customFormat="false" ht="15.75" hidden="false" customHeight="true" outlineLevel="0" collapsed="false">
      <c r="V750" s="1"/>
      <c r="W750" s="1"/>
      <c r="X750" s="1"/>
      <c r="Y750" s="1"/>
    </row>
    <row r="751" customFormat="false" ht="15.75" hidden="false" customHeight="true" outlineLevel="0" collapsed="false">
      <c r="V751" s="1"/>
      <c r="W751" s="1"/>
      <c r="X751" s="1"/>
      <c r="Y751" s="1"/>
    </row>
    <row r="752" customFormat="false" ht="15.75" hidden="false" customHeight="true" outlineLevel="0" collapsed="false">
      <c r="V752" s="1"/>
      <c r="W752" s="1"/>
      <c r="X752" s="1"/>
      <c r="Y752" s="1"/>
    </row>
    <row r="753" customFormat="false" ht="15.75" hidden="false" customHeight="true" outlineLevel="0" collapsed="false">
      <c r="V753" s="1"/>
      <c r="W753" s="1"/>
      <c r="X753" s="1"/>
      <c r="Y753" s="1"/>
    </row>
    <row r="754" customFormat="false" ht="15.75" hidden="false" customHeight="true" outlineLevel="0" collapsed="false">
      <c r="V754" s="1"/>
      <c r="W754" s="1"/>
      <c r="X754" s="1"/>
      <c r="Y754" s="1"/>
    </row>
    <row r="755" customFormat="false" ht="15.75" hidden="false" customHeight="true" outlineLevel="0" collapsed="false">
      <c r="V755" s="1"/>
      <c r="W755" s="1"/>
      <c r="X755" s="1"/>
      <c r="Y755" s="1"/>
    </row>
    <row r="756" customFormat="false" ht="15.75" hidden="false" customHeight="true" outlineLevel="0" collapsed="false">
      <c r="V756" s="1"/>
      <c r="W756" s="1"/>
      <c r="X756" s="1"/>
      <c r="Y756" s="1"/>
    </row>
    <row r="757" customFormat="false" ht="15.75" hidden="false" customHeight="true" outlineLevel="0" collapsed="false">
      <c r="V757" s="1"/>
      <c r="W757" s="1"/>
      <c r="X757" s="1"/>
      <c r="Y757" s="1"/>
    </row>
    <row r="758" customFormat="false" ht="15.75" hidden="false" customHeight="true" outlineLevel="0" collapsed="false">
      <c r="V758" s="1"/>
      <c r="W758" s="1"/>
      <c r="X758" s="1"/>
      <c r="Y758" s="1"/>
    </row>
    <row r="759" customFormat="false" ht="15.75" hidden="false" customHeight="true" outlineLevel="0" collapsed="false">
      <c r="V759" s="1"/>
      <c r="W759" s="1"/>
      <c r="X759" s="1"/>
      <c r="Y759" s="1"/>
    </row>
    <row r="760" customFormat="false" ht="15.75" hidden="false" customHeight="true" outlineLevel="0" collapsed="false">
      <c r="V760" s="1"/>
      <c r="W760" s="1"/>
      <c r="X760" s="1"/>
      <c r="Y760" s="1"/>
    </row>
    <row r="761" customFormat="false" ht="15.75" hidden="false" customHeight="true" outlineLevel="0" collapsed="false">
      <c r="V761" s="1"/>
      <c r="W761" s="1"/>
      <c r="X761" s="1"/>
      <c r="Y761" s="1"/>
    </row>
    <row r="762" customFormat="false" ht="15.75" hidden="false" customHeight="true" outlineLevel="0" collapsed="false">
      <c r="V762" s="1"/>
      <c r="W762" s="1"/>
      <c r="X762" s="1"/>
      <c r="Y762" s="1"/>
    </row>
    <row r="763" customFormat="false" ht="15.75" hidden="false" customHeight="true" outlineLevel="0" collapsed="false">
      <c r="V763" s="1"/>
      <c r="W763" s="1"/>
      <c r="X763" s="1"/>
      <c r="Y763" s="1"/>
    </row>
    <row r="764" customFormat="false" ht="15.75" hidden="false" customHeight="true" outlineLevel="0" collapsed="false">
      <c r="V764" s="1"/>
      <c r="W764" s="1"/>
      <c r="X764" s="1"/>
      <c r="Y764" s="1"/>
    </row>
    <row r="765" customFormat="false" ht="15.75" hidden="false" customHeight="true" outlineLevel="0" collapsed="false">
      <c r="V765" s="1"/>
      <c r="W765" s="1"/>
      <c r="X765" s="1"/>
      <c r="Y765" s="1"/>
    </row>
    <row r="766" customFormat="false" ht="15.75" hidden="false" customHeight="true" outlineLevel="0" collapsed="false">
      <c r="V766" s="1"/>
      <c r="W766" s="1"/>
      <c r="X766" s="1"/>
      <c r="Y766" s="1"/>
    </row>
    <row r="767" customFormat="false" ht="15.75" hidden="false" customHeight="true" outlineLevel="0" collapsed="false">
      <c r="V767" s="1"/>
      <c r="W767" s="1"/>
      <c r="X767" s="1"/>
      <c r="Y767" s="1"/>
    </row>
    <row r="768" customFormat="false" ht="15.75" hidden="false" customHeight="true" outlineLevel="0" collapsed="false">
      <c r="V768" s="1"/>
      <c r="W768" s="1"/>
      <c r="X768" s="1"/>
      <c r="Y768" s="1"/>
    </row>
    <row r="769" customFormat="false" ht="15.75" hidden="false" customHeight="true" outlineLevel="0" collapsed="false">
      <c r="V769" s="1"/>
      <c r="W769" s="1"/>
      <c r="X769" s="1"/>
      <c r="Y769" s="1"/>
    </row>
    <row r="770" customFormat="false" ht="15.75" hidden="false" customHeight="true" outlineLevel="0" collapsed="false">
      <c r="V770" s="1"/>
      <c r="W770" s="1"/>
      <c r="X770" s="1"/>
      <c r="Y770" s="1"/>
    </row>
    <row r="771" customFormat="false" ht="15.75" hidden="false" customHeight="true" outlineLevel="0" collapsed="false">
      <c r="V771" s="1"/>
      <c r="W771" s="1"/>
      <c r="X771" s="1"/>
      <c r="Y771" s="1"/>
    </row>
    <row r="772" customFormat="false" ht="15.75" hidden="false" customHeight="true" outlineLevel="0" collapsed="false">
      <c r="V772" s="1"/>
      <c r="W772" s="1"/>
      <c r="X772" s="1"/>
      <c r="Y772" s="1"/>
    </row>
    <row r="773" customFormat="false" ht="15.75" hidden="false" customHeight="true" outlineLevel="0" collapsed="false">
      <c r="V773" s="1"/>
      <c r="W773" s="1"/>
      <c r="X773" s="1"/>
      <c r="Y773" s="1"/>
    </row>
    <row r="774" customFormat="false" ht="15.75" hidden="false" customHeight="true" outlineLevel="0" collapsed="false">
      <c r="V774" s="1"/>
      <c r="W774" s="1"/>
      <c r="X774" s="1"/>
      <c r="Y774" s="1"/>
    </row>
    <row r="775" customFormat="false" ht="15.75" hidden="false" customHeight="true" outlineLevel="0" collapsed="false">
      <c r="V775" s="1"/>
      <c r="W775" s="1"/>
      <c r="X775" s="1"/>
      <c r="Y775" s="1"/>
    </row>
    <row r="776" customFormat="false" ht="15.75" hidden="false" customHeight="true" outlineLevel="0" collapsed="false">
      <c r="V776" s="1"/>
      <c r="W776" s="1"/>
      <c r="X776" s="1"/>
      <c r="Y776" s="1"/>
    </row>
    <row r="777" customFormat="false" ht="15.75" hidden="false" customHeight="true" outlineLevel="0" collapsed="false">
      <c r="V777" s="1"/>
      <c r="W777" s="1"/>
      <c r="X777" s="1"/>
      <c r="Y777" s="1"/>
    </row>
    <row r="778" customFormat="false" ht="15.75" hidden="false" customHeight="true" outlineLevel="0" collapsed="false">
      <c r="V778" s="1"/>
      <c r="W778" s="1"/>
      <c r="X778" s="1"/>
      <c r="Y778" s="1"/>
    </row>
    <row r="779" customFormat="false" ht="15.75" hidden="false" customHeight="true" outlineLevel="0" collapsed="false">
      <c r="V779" s="1"/>
      <c r="W779" s="1"/>
      <c r="X779" s="1"/>
      <c r="Y779" s="1"/>
    </row>
    <row r="780" customFormat="false" ht="15.75" hidden="false" customHeight="true" outlineLevel="0" collapsed="false">
      <c r="V780" s="1"/>
      <c r="W780" s="1"/>
      <c r="X780" s="1"/>
      <c r="Y780" s="1"/>
    </row>
    <row r="781" customFormat="false" ht="15.75" hidden="false" customHeight="true" outlineLevel="0" collapsed="false">
      <c r="V781" s="1"/>
      <c r="W781" s="1"/>
      <c r="X781" s="1"/>
      <c r="Y781" s="1"/>
    </row>
    <row r="782" customFormat="false" ht="15.75" hidden="false" customHeight="true" outlineLevel="0" collapsed="false">
      <c r="V782" s="1"/>
      <c r="W782" s="1"/>
      <c r="X782" s="1"/>
      <c r="Y782" s="1"/>
    </row>
    <row r="783" customFormat="false" ht="15.75" hidden="false" customHeight="true" outlineLevel="0" collapsed="false">
      <c r="V783" s="1"/>
      <c r="W783" s="1"/>
      <c r="X783" s="1"/>
      <c r="Y783" s="1"/>
    </row>
    <row r="784" customFormat="false" ht="15.75" hidden="false" customHeight="true" outlineLevel="0" collapsed="false">
      <c r="V784" s="1"/>
      <c r="W784" s="1"/>
      <c r="X784" s="1"/>
      <c r="Y784" s="1"/>
    </row>
    <row r="785" customFormat="false" ht="15.75" hidden="false" customHeight="true" outlineLevel="0" collapsed="false">
      <c r="V785" s="1"/>
      <c r="W785" s="1"/>
      <c r="X785" s="1"/>
      <c r="Y785" s="1"/>
    </row>
    <row r="786" customFormat="false" ht="15.75" hidden="false" customHeight="true" outlineLevel="0" collapsed="false">
      <c r="V786" s="1"/>
      <c r="W786" s="1"/>
      <c r="X786" s="1"/>
      <c r="Y786" s="1"/>
    </row>
    <row r="787" customFormat="false" ht="15.75" hidden="false" customHeight="true" outlineLevel="0" collapsed="false">
      <c r="V787" s="1"/>
      <c r="W787" s="1"/>
      <c r="X787" s="1"/>
      <c r="Y787" s="1"/>
    </row>
    <row r="788" customFormat="false" ht="15.75" hidden="false" customHeight="true" outlineLevel="0" collapsed="false">
      <c r="V788" s="1"/>
      <c r="W788" s="1"/>
      <c r="X788" s="1"/>
      <c r="Y788" s="1"/>
    </row>
    <row r="789" customFormat="false" ht="15.75" hidden="false" customHeight="true" outlineLevel="0" collapsed="false">
      <c r="V789" s="1"/>
      <c r="W789" s="1"/>
      <c r="X789" s="1"/>
      <c r="Y789" s="1"/>
    </row>
    <row r="790" customFormat="false" ht="15.75" hidden="false" customHeight="true" outlineLevel="0" collapsed="false">
      <c r="V790" s="1"/>
      <c r="W790" s="1"/>
      <c r="X790" s="1"/>
      <c r="Y790" s="1"/>
    </row>
    <row r="791" customFormat="false" ht="15.75" hidden="false" customHeight="true" outlineLevel="0" collapsed="false">
      <c r="V791" s="1"/>
      <c r="W791" s="1"/>
      <c r="X791" s="1"/>
      <c r="Y791" s="1"/>
    </row>
    <row r="792" customFormat="false" ht="15.75" hidden="false" customHeight="true" outlineLevel="0" collapsed="false">
      <c r="V792" s="1"/>
      <c r="W792" s="1"/>
      <c r="X792" s="1"/>
      <c r="Y792" s="1"/>
    </row>
    <row r="793" customFormat="false" ht="15.75" hidden="false" customHeight="true" outlineLevel="0" collapsed="false">
      <c r="V793" s="1"/>
      <c r="W793" s="1"/>
      <c r="X793" s="1"/>
      <c r="Y793" s="1"/>
    </row>
    <row r="794" customFormat="false" ht="15.75" hidden="false" customHeight="true" outlineLevel="0" collapsed="false">
      <c r="V794" s="1"/>
      <c r="W794" s="1"/>
      <c r="X794" s="1"/>
      <c r="Y794" s="1"/>
    </row>
    <row r="795" customFormat="false" ht="15.75" hidden="false" customHeight="true" outlineLevel="0" collapsed="false">
      <c r="V795" s="1"/>
      <c r="W795" s="1"/>
      <c r="X795" s="1"/>
      <c r="Y795" s="1"/>
    </row>
    <row r="796" customFormat="false" ht="15.75" hidden="false" customHeight="true" outlineLevel="0" collapsed="false">
      <c r="V796" s="1"/>
      <c r="W796" s="1"/>
      <c r="X796" s="1"/>
      <c r="Y796" s="1"/>
    </row>
    <row r="797" customFormat="false" ht="15.75" hidden="false" customHeight="true" outlineLevel="0" collapsed="false">
      <c r="V797" s="1"/>
      <c r="W797" s="1"/>
      <c r="X797" s="1"/>
      <c r="Y797" s="1"/>
    </row>
    <row r="798" customFormat="false" ht="15.75" hidden="false" customHeight="true" outlineLevel="0" collapsed="false">
      <c r="V798" s="1"/>
      <c r="W798" s="1"/>
      <c r="X798" s="1"/>
      <c r="Y798" s="1"/>
    </row>
    <row r="799" customFormat="false" ht="15.75" hidden="false" customHeight="true" outlineLevel="0" collapsed="false">
      <c r="V799" s="1"/>
      <c r="W799" s="1"/>
      <c r="X799" s="1"/>
      <c r="Y799" s="1"/>
    </row>
    <row r="800" customFormat="false" ht="15.75" hidden="false" customHeight="true" outlineLevel="0" collapsed="false">
      <c r="V800" s="1"/>
      <c r="W800" s="1"/>
      <c r="X800" s="1"/>
      <c r="Y800" s="1"/>
    </row>
    <row r="801" customFormat="false" ht="15.75" hidden="false" customHeight="true" outlineLevel="0" collapsed="false">
      <c r="V801" s="1"/>
      <c r="W801" s="1"/>
      <c r="X801" s="1"/>
      <c r="Y801" s="1"/>
    </row>
    <row r="802" customFormat="false" ht="15.75" hidden="false" customHeight="true" outlineLevel="0" collapsed="false">
      <c r="V802" s="1"/>
      <c r="W802" s="1"/>
      <c r="X802" s="1"/>
      <c r="Y802" s="1"/>
    </row>
    <row r="803" customFormat="false" ht="15.75" hidden="false" customHeight="true" outlineLevel="0" collapsed="false">
      <c r="V803" s="1"/>
      <c r="W803" s="1"/>
      <c r="X803" s="1"/>
      <c r="Y803" s="1"/>
    </row>
    <row r="804" customFormat="false" ht="15.75" hidden="false" customHeight="true" outlineLevel="0" collapsed="false">
      <c r="V804" s="1"/>
      <c r="W804" s="1"/>
      <c r="X804" s="1"/>
      <c r="Y804" s="1"/>
    </row>
    <row r="805" customFormat="false" ht="15.75" hidden="false" customHeight="true" outlineLevel="0" collapsed="false">
      <c r="V805" s="1"/>
      <c r="W805" s="1"/>
      <c r="X805" s="1"/>
      <c r="Y805" s="1"/>
    </row>
    <row r="806" customFormat="false" ht="15.75" hidden="false" customHeight="true" outlineLevel="0" collapsed="false">
      <c r="V806" s="1"/>
      <c r="W806" s="1"/>
      <c r="X806" s="1"/>
      <c r="Y806" s="1"/>
    </row>
    <row r="807" customFormat="false" ht="15.75" hidden="false" customHeight="true" outlineLevel="0" collapsed="false">
      <c r="V807" s="1"/>
      <c r="W807" s="1"/>
      <c r="X807" s="1"/>
      <c r="Y807" s="1"/>
    </row>
    <row r="808" customFormat="false" ht="15.75" hidden="false" customHeight="true" outlineLevel="0" collapsed="false">
      <c r="V808" s="1"/>
      <c r="W808" s="1"/>
      <c r="X808" s="1"/>
      <c r="Y808" s="1"/>
    </row>
    <row r="809" customFormat="false" ht="15.75" hidden="false" customHeight="true" outlineLevel="0" collapsed="false">
      <c r="V809" s="1"/>
      <c r="W809" s="1"/>
      <c r="X809" s="1"/>
      <c r="Y809" s="1"/>
    </row>
    <row r="810" customFormat="false" ht="15.75" hidden="false" customHeight="true" outlineLevel="0" collapsed="false">
      <c r="V810" s="1"/>
      <c r="W810" s="1"/>
      <c r="X810" s="1"/>
      <c r="Y810" s="1"/>
    </row>
    <row r="811" customFormat="false" ht="15.75" hidden="false" customHeight="true" outlineLevel="0" collapsed="false">
      <c r="V811" s="1"/>
      <c r="W811" s="1"/>
      <c r="X811" s="1"/>
      <c r="Y811" s="1"/>
    </row>
    <row r="812" customFormat="false" ht="15.75" hidden="false" customHeight="true" outlineLevel="0" collapsed="false">
      <c r="V812" s="1"/>
      <c r="W812" s="1"/>
      <c r="X812" s="1"/>
      <c r="Y812" s="1"/>
    </row>
    <row r="813" customFormat="false" ht="15.75" hidden="false" customHeight="true" outlineLevel="0" collapsed="false">
      <c r="V813" s="1"/>
      <c r="W813" s="1"/>
      <c r="X813" s="1"/>
      <c r="Y813" s="1"/>
    </row>
    <row r="814" customFormat="false" ht="15.75" hidden="false" customHeight="true" outlineLevel="0" collapsed="false">
      <c r="V814" s="1"/>
      <c r="W814" s="1"/>
      <c r="X814" s="1"/>
      <c r="Y814" s="1"/>
    </row>
    <row r="815" customFormat="false" ht="15.75" hidden="false" customHeight="true" outlineLevel="0" collapsed="false">
      <c r="V815" s="1"/>
      <c r="W815" s="1"/>
      <c r="X815" s="1"/>
      <c r="Y815" s="1"/>
    </row>
    <row r="816" customFormat="false" ht="15.75" hidden="false" customHeight="true" outlineLevel="0" collapsed="false">
      <c r="V816" s="1"/>
      <c r="W816" s="1"/>
      <c r="X816" s="1"/>
      <c r="Y816" s="1"/>
    </row>
    <row r="817" customFormat="false" ht="15.75" hidden="false" customHeight="true" outlineLevel="0" collapsed="false">
      <c r="V817" s="1"/>
      <c r="W817" s="1"/>
      <c r="X817" s="1"/>
      <c r="Y817" s="1"/>
    </row>
    <row r="818" customFormat="false" ht="15.75" hidden="false" customHeight="true" outlineLevel="0" collapsed="false">
      <c r="V818" s="1"/>
      <c r="W818" s="1"/>
      <c r="X818" s="1"/>
      <c r="Y818" s="1"/>
    </row>
    <row r="819" customFormat="false" ht="15.75" hidden="false" customHeight="true" outlineLevel="0" collapsed="false">
      <c r="V819" s="1"/>
      <c r="W819" s="1"/>
      <c r="X819" s="1"/>
      <c r="Y819" s="1"/>
    </row>
    <row r="820" customFormat="false" ht="15.75" hidden="false" customHeight="true" outlineLevel="0" collapsed="false">
      <c r="V820" s="1"/>
      <c r="W820" s="1"/>
      <c r="X820" s="1"/>
      <c r="Y820" s="1"/>
    </row>
    <row r="821" customFormat="false" ht="15.75" hidden="false" customHeight="true" outlineLevel="0" collapsed="false">
      <c r="V821" s="1"/>
      <c r="W821" s="1"/>
      <c r="X821" s="1"/>
      <c r="Y821" s="1"/>
    </row>
    <row r="822" customFormat="false" ht="15.75" hidden="false" customHeight="true" outlineLevel="0" collapsed="false">
      <c r="V822" s="1"/>
      <c r="W822" s="1"/>
      <c r="X822" s="1"/>
      <c r="Y822" s="1"/>
    </row>
    <row r="823" customFormat="false" ht="15.75" hidden="false" customHeight="true" outlineLevel="0" collapsed="false">
      <c r="V823" s="1"/>
      <c r="W823" s="1"/>
      <c r="X823" s="1"/>
      <c r="Y823" s="1"/>
    </row>
    <row r="824" customFormat="false" ht="15.75" hidden="false" customHeight="true" outlineLevel="0" collapsed="false">
      <c r="V824" s="1"/>
      <c r="W824" s="1"/>
      <c r="X824" s="1"/>
      <c r="Y824" s="1"/>
    </row>
    <row r="825" customFormat="false" ht="15.75" hidden="false" customHeight="true" outlineLevel="0" collapsed="false">
      <c r="V825" s="1"/>
      <c r="W825" s="1"/>
      <c r="X825" s="1"/>
      <c r="Y825" s="1"/>
    </row>
    <row r="826" customFormat="false" ht="15.75" hidden="false" customHeight="true" outlineLevel="0" collapsed="false">
      <c r="V826" s="1"/>
      <c r="W826" s="1"/>
      <c r="X826" s="1"/>
      <c r="Y826" s="1"/>
    </row>
    <row r="827" customFormat="false" ht="15.75" hidden="false" customHeight="true" outlineLevel="0" collapsed="false">
      <c r="V827" s="1"/>
      <c r="W827" s="1"/>
      <c r="X827" s="1"/>
      <c r="Y827" s="1"/>
    </row>
    <row r="828" customFormat="false" ht="15.75" hidden="false" customHeight="true" outlineLevel="0" collapsed="false">
      <c r="V828" s="1"/>
      <c r="W828" s="1"/>
      <c r="X828" s="1"/>
      <c r="Y828" s="1"/>
    </row>
    <row r="829" customFormat="false" ht="15.75" hidden="false" customHeight="true" outlineLevel="0" collapsed="false">
      <c r="V829" s="1"/>
      <c r="W829" s="1"/>
      <c r="X829" s="1"/>
      <c r="Y829" s="1"/>
    </row>
    <row r="830" customFormat="false" ht="15.75" hidden="false" customHeight="true" outlineLevel="0" collapsed="false">
      <c r="V830" s="1"/>
      <c r="W830" s="1"/>
      <c r="X830" s="1"/>
      <c r="Y830" s="1"/>
    </row>
    <row r="831" customFormat="false" ht="15.75" hidden="false" customHeight="true" outlineLevel="0" collapsed="false">
      <c r="V831" s="1"/>
      <c r="W831" s="1"/>
      <c r="X831" s="1"/>
      <c r="Y831" s="1"/>
    </row>
    <row r="832" customFormat="false" ht="15.75" hidden="false" customHeight="true" outlineLevel="0" collapsed="false">
      <c r="V832" s="1"/>
      <c r="W832" s="1"/>
      <c r="X832" s="1"/>
      <c r="Y832" s="1"/>
    </row>
    <row r="833" customFormat="false" ht="15.75" hidden="false" customHeight="true" outlineLevel="0" collapsed="false">
      <c r="V833" s="1"/>
      <c r="W833" s="1"/>
      <c r="X833" s="1"/>
      <c r="Y833" s="1"/>
    </row>
    <row r="834" customFormat="false" ht="15.75" hidden="false" customHeight="true" outlineLevel="0" collapsed="false">
      <c r="V834" s="1"/>
      <c r="W834" s="1"/>
      <c r="X834" s="1"/>
      <c r="Y834" s="1"/>
    </row>
    <row r="835" customFormat="false" ht="15.75" hidden="false" customHeight="true" outlineLevel="0" collapsed="false">
      <c r="V835" s="1"/>
      <c r="W835" s="1"/>
      <c r="X835" s="1"/>
      <c r="Y835" s="1"/>
    </row>
    <row r="836" customFormat="false" ht="15.75" hidden="false" customHeight="true" outlineLevel="0" collapsed="false">
      <c r="V836" s="1"/>
      <c r="W836" s="1"/>
      <c r="X836" s="1"/>
      <c r="Y836" s="1"/>
    </row>
    <row r="837" customFormat="false" ht="15.75" hidden="false" customHeight="true" outlineLevel="0" collapsed="false">
      <c r="V837" s="1"/>
      <c r="W837" s="1"/>
      <c r="X837" s="1"/>
      <c r="Y837" s="1"/>
    </row>
    <row r="838" customFormat="false" ht="15.75" hidden="false" customHeight="true" outlineLevel="0" collapsed="false">
      <c r="V838" s="1"/>
      <c r="W838" s="1"/>
      <c r="X838" s="1"/>
      <c r="Y838" s="1"/>
    </row>
    <row r="839" customFormat="false" ht="15.75" hidden="false" customHeight="true" outlineLevel="0" collapsed="false">
      <c r="V839" s="1"/>
      <c r="W839" s="1"/>
      <c r="X839" s="1"/>
      <c r="Y839" s="1"/>
    </row>
    <row r="840" customFormat="false" ht="15.75" hidden="false" customHeight="true" outlineLevel="0" collapsed="false">
      <c r="V840" s="1"/>
      <c r="W840" s="1"/>
      <c r="X840" s="1"/>
      <c r="Y840" s="1"/>
    </row>
    <row r="841" customFormat="false" ht="15.75" hidden="false" customHeight="true" outlineLevel="0" collapsed="false">
      <c r="V841" s="1"/>
      <c r="W841" s="1"/>
      <c r="X841" s="1"/>
      <c r="Y841" s="1"/>
    </row>
    <row r="842" customFormat="false" ht="15.75" hidden="false" customHeight="true" outlineLevel="0" collapsed="false">
      <c r="V842" s="1"/>
      <c r="W842" s="1"/>
      <c r="X842" s="1"/>
      <c r="Y842" s="1"/>
    </row>
    <row r="843" customFormat="false" ht="15.75" hidden="false" customHeight="true" outlineLevel="0" collapsed="false">
      <c r="V843" s="1"/>
      <c r="W843" s="1"/>
      <c r="X843" s="1"/>
      <c r="Y843" s="1"/>
    </row>
    <row r="844" customFormat="false" ht="15.75" hidden="false" customHeight="true" outlineLevel="0" collapsed="false">
      <c r="V844" s="1"/>
      <c r="W844" s="1"/>
      <c r="X844" s="1"/>
      <c r="Y844" s="1"/>
    </row>
    <row r="845" customFormat="false" ht="15.75" hidden="false" customHeight="true" outlineLevel="0" collapsed="false">
      <c r="V845" s="1"/>
      <c r="W845" s="1"/>
      <c r="X845" s="1"/>
      <c r="Y845" s="1"/>
    </row>
    <row r="846" customFormat="false" ht="15.75" hidden="false" customHeight="true" outlineLevel="0" collapsed="false">
      <c r="V846" s="1"/>
      <c r="W846" s="1"/>
      <c r="X846" s="1"/>
      <c r="Y846" s="1"/>
    </row>
    <row r="847" customFormat="false" ht="15.75" hidden="false" customHeight="true" outlineLevel="0" collapsed="false">
      <c r="V847" s="1"/>
      <c r="W847" s="1"/>
      <c r="X847" s="1"/>
      <c r="Y847" s="1"/>
    </row>
    <row r="848" customFormat="false" ht="15.75" hidden="false" customHeight="true" outlineLevel="0" collapsed="false">
      <c r="V848" s="1"/>
      <c r="W848" s="1"/>
      <c r="X848" s="1"/>
      <c r="Y848" s="1"/>
    </row>
    <row r="849" customFormat="false" ht="15.75" hidden="false" customHeight="true" outlineLevel="0" collapsed="false">
      <c r="V849" s="1"/>
      <c r="W849" s="1"/>
      <c r="X849" s="1"/>
      <c r="Y849" s="1"/>
    </row>
    <row r="850" customFormat="false" ht="15.75" hidden="false" customHeight="true" outlineLevel="0" collapsed="false">
      <c r="V850" s="1"/>
      <c r="W850" s="1"/>
      <c r="X850" s="1"/>
      <c r="Y850" s="1"/>
    </row>
    <row r="851" customFormat="false" ht="15.75" hidden="false" customHeight="true" outlineLevel="0" collapsed="false">
      <c r="V851" s="1"/>
      <c r="W851" s="1"/>
      <c r="X851" s="1"/>
      <c r="Y851" s="1"/>
    </row>
    <row r="852" customFormat="false" ht="15.75" hidden="false" customHeight="true" outlineLevel="0" collapsed="false">
      <c r="V852" s="1"/>
      <c r="W852" s="1"/>
      <c r="X852" s="1"/>
      <c r="Y852" s="1"/>
    </row>
    <row r="853" customFormat="false" ht="15.75" hidden="false" customHeight="true" outlineLevel="0" collapsed="false">
      <c r="V853" s="1"/>
      <c r="W853" s="1"/>
      <c r="X853" s="1"/>
      <c r="Y853" s="1"/>
    </row>
    <row r="854" customFormat="false" ht="15.75" hidden="false" customHeight="true" outlineLevel="0" collapsed="false">
      <c r="V854" s="1"/>
      <c r="W854" s="1"/>
      <c r="X854" s="1"/>
      <c r="Y854" s="1"/>
    </row>
    <row r="855" customFormat="false" ht="15.75" hidden="false" customHeight="true" outlineLevel="0" collapsed="false">
      <c r="V855" s="1"/>
      <c r="W855" s="1"/>
      <c r="X855" s="1"/>
      <c r="Y855" s="1"/>
    </row>
    <row r="856" customFormat="false" ht="15.75" hidden="false" customHeight="true" outlineLevel="0" collapsed="false">
      <c r="V856" s="1"/>
      <c r="W856" s="1"/>
      <c r="X856" s="1"/>
      <c r="Y856" s="1"/>
    </row>
    <row r="857" customFormat="false" ht="15.75" hidden="false" customHeight="true" outlineLevel="0" collapsed="false">
      <c r="V857" s="1"/>
      <c r="W857" s="1"/>
      <c r="X857" s="1"/>
      <c r="Y857" s="1"/>
    </row>
    <row r="858" customFormat="false" ht="15.75" hidden="false" customHeight="true" outlineLevel="0" collapsed="false">
      <c r="V858" s="1"/>
      <c r="W858" s="1"/>
      <c r="X858" s="1"/>
      <c r="Y858" s="1"/>
    </row>
    <row r="859" customFormat="false" ht="15.75" hidden="false" customHeight="true" outlineLevel="0" collapsed="false">
      <c r="V859" s="1"/>
      <c r="W859" s="1"/>
      <c r="X859" s="1"/>
      <c r="Y859" s="1"/>
    </row>
    <row r="860" customFormat="false" ht="15.75" hidden="false" customHeight="true" outlineLevel="0" collapsed="false">
      <c r="V860" s="1"/>
      <c r="W860" s="1"/>
      <c r="X860" s="1"/>
      <c r="Y860" s="1"/>
    </row>
    <row r="861" customFormat="false" ht="15.75" hidden="false" customHeight="true" outlineLevel="0" collapsed="false">
      <c r="V861" s="1"/>
      <c r="W861" s="1"/>
      <c r="X861" s="1"/>
      <c r="Y861" s="1"/>
    </row>
    <row r="862" customFormat="false" ht="15.75" hidden="false" customHeight="true" outlineLevel="0" collapsed="false">
      <c r="V862" s="1"/>
      <c r="W862" s="1"/>
      <c r="X862" s="1"/>
      <c r="Y862" s="1"/>
    </row>
    <row r="863" customFormat="false" ht="15.75" hidden="false" customHeight="true" outlineLevel="0" collapsed="false">
      <c r="V863" s="1"/>
      <c r="W863" s="1"/>
      <c r="X863" s="1"/>
      <c r="Y863" s="1"/>
    </row>
    <row r="864" customFormat="false" ht="15.75" hidden="false" customHeight="true" outlineLevel="0" collapsed="false">
      <c r="V864" s="1"/>
      <c r="W864" s="1"/>
      <c r="X864" s="1"/>
      <c r="Y864" s="1"/>
    </row>
    <row r="865" customFormat="false" ht="15.75" hidden="false" customHeight="true" outlineLevel="0" collapsed="false">
      <c r="V865" s="1"/>
      <c r="W865" s="1"/>
      <c r="X865" s="1"/>
      <c r="Y865" s="1"/>
    </row>
    <row r="866" customFormat="false" ht="15.75" hidden="false" customHeight="true" outlineLevel="0" collapsed="false">
      <c r="V866" s="1"/>
      <c r="W866" s="1"/>
      <c r="X866" s="1"/>
      <c r="Y866" s="1"/>
    </row>
    <row r="867" customFormat="false" ht="15.75" hidden="false" customHeight="true" outlineLevel="0" collapsed="false">
      <c r="V867" s="1"/>
      <c r="W867" s="1"/>
      <c r="X867" s="1"/>
      <c r="Y867" s="1"/>
    </row>
    <row r="868" customFormat="false" ht="15.75" hidden="false" customHeight="true" outlineLevel="0" collapsed="false">
      <c r="V868" s="1"/>
      <c r="W868" s="1"/>
      <c r="X868" s="1"/>
      <c r="Y868" s="1"/>
    </row>
    <row r="869" customFormat="false" ht="15.75" hidden="false" customHeight="true" outlineLevel="0" collapsed="false">
      <c r="V869" s="1"/>
      <c r="W869" s="1"/>
      <c r="X869" s="1"/>
      <c r="Y869" s="1"/>
    </row>
    <row r="870" customFormat="false" ht="15.75" hidden="false" customHeight="true" outlineLevel="0" collapsed="false">
      <c r="V870" s="1"/>
      <c r="W870" s="1"/>
      <c r="X870" s="1"/>
      <c r="Y870" s="1"/>
    </row>
    <row r="871" customFormat="false" ht="15.75" hidden="false" customHeight="true" outlineLevel="0" collapsed="false">
      <c r="V871" s="1"/>
      <c r="W871" s="1"/>
      <c r="X871" s="1"/>
      <c r="Y871" s="1"/>
    </row>
    <row r="872" customFormat="false" ht="15.75" hidden="false" customHeight="true" outlineLevel="0" collapsed="false">
      <c r="V872" s="1"/>
      <c r="W872" s="1"/>
      <c r="X872" s="1"/>
      <c r="Y872" s="1"/>
    </row>
    <row r="873" customFormat="false" ht="15.75" hidden="false" customHeight="true" outlineLevel="0" collapsed="false">
      <c r="V873" s="1"/>
      <c r="W873" s="1"/>
      <c r="X873" s="1"/>
      <c r="Y873" s="1"/>
    </row>
    <row r="874" customFormat="false" ht="15.75" hidden="false" customHeight="true" outlineLevel="0" collapsed="false">
      <c r="V874" s="1"/>
      <c r="W874" s="1"/>
      <c r="X874" s="1"/>
      <c r="Y874" s="1"/>
    </row>
    <row r="875" customFormat="false" ht="15.75" hidden="false" customHeight="true" outlineLevel="0" collapsed="false">
      <c r="V875" s="1"/>
      <c r="W875" s="1"/>
      <c r="X875" s="1"/>
      <c r="Y875" s="1"/>
    </row>
    <row r="876" customFormat="false" ht="15.75" hidden="false" customHeight="true" outlineLevel="0" collapsed="false">
      <c r="V876" s="1"/>
      <c r="W876" s="1"/>
      <c r="X876" s="1"/>
      <c r="Y876" s="1"/>
    </row>
    <row r="877" customFormat="false" ht="15.75" hidden="false" customHeight="true" outlineLevel="0" collapsed="false">
      <c r="V877" s="1"/>
      <c r="W877" s="1"/>
      <c r="X877" s="1"/>
      <c r="Y877" s="1"/>
    </row>
    <row r="878" customFormat="false" ht="15.75" hidden="false" customHeight="true" outlineLevel="0" collapsed="false">
      <c r="V878" s="1"/>
      <c r="W878" s="1"/>
      <c r="X878" s="1"/>
      <c r="Y878" s="1"/>
    </row>
    <row r="879" customFormat="false" ht="15.75" hidden="false" customHeight="true" outlineLevel="0" collapsed="false">
      <c r="V879" s="1"/>
      <c r="W879" s="1"/>
      <c r="X879" s="1"/>
      <c r="Y879" s="1"/>
    </row>
    <row r="880" customFormat="false" ht="15.75" hidden="false" customHeight="true" outlineLevel="0" collapsed="false">
      <c r="V880" s="1"/>
      <c r="W880" s="1"/>
      <c r="X880" s="1"/>
      <c r="Y880" s="1"/>
    </row>
    <row r="881" customFormat="false" ht="15.75" hidden="false" customHeight="true" outlineLevel="0" collapsed="false">
      <c r="V881" s="1"/>
      <c r="W881" s="1"/>
      <c r="X881" s="1"/>
      <c r="Y881" s="1"/>
    </row>
    <row r="882" customFormat="false" ht="15.75" hidden="false" customHeight="true" outlineLevel="0" collapsed="false">
      <c r="V882" s="1"/>
      <c r="W882" s="1"/>
      <c r="X882" s="1"/>
      <c r="Y882" s="1"/>
    </row>
    <row r="883" customFormat="false" ht="15.75" hidden="false" customHeight="true" outlineLevel="0" collapsed="false">
      <c r="V883" s="1"/>
      <c r="W883" s="1"/>
      <c r="X883" s="1"/>
      <c r="Y883" s="1"/>
    </row>
    <row r="884" customFormat="false" ht="15.75" hidden="false" customHeight="true" outlineLevel="0" collapsed="false">
      <c r="V884" s="1"/>
      <c r="W884" s="1"/>
      <c r="X884" s="1"/>
      <c r="Y884" s="1"/>
    </row>
    <row r="885" customFormat="false" ht="15.75" hidden="false" customHeight="true" outlineLevel="0" collapsed="false">
      <c r="V885" s="1"/>
      <c r="W885" s="1"/>
      <c r="X885" s="1"/>
      <c r="Y885" s="1"/>
    </row>
    <row r="886" customFormat="false" ht="15.75" hidden="false" customHeight="true" outlineLevel="0" collapsed="false">
      <c r="V886" s="1"/>
      <c r="W886" s="1"/>
      <c r="X886" s="1"/>
      <c r="Y886" s="1"/>
    </row>
    <row r="887" customFormat="false" ht="15.75" hidden="false" customHeight="true" outlineLevel="0" collapsed="false">
      <c r="V887" s="1"/>
      <c r="W887" s="1"/>
      <c r="X887" s="1"/>
      <c r="Y887" s="1"/>
    </row>
    <row r="888" customFormat="false" ht="15.75" hidden="false" customHeight="true" outlineLevel="0" collapsed="false">
      <c r="V888" s="1"/>
      <c r="W888" s="1"/>
      <c r="X888" s="1"/>
      <c r="Y888" s="1"/>
    </row>
    <row r="889" customFormat="false" ht="15.75" hidden="false" customHeight="true" outlineLevel="0" collapsed="false">
      <c r="V889" s="1"/>
      <c r="W889" s="1"/>
      <c r="X889" s="1"/>
      <c r="Y889" s="1"/>
    </row>
    <row r="890" customFormat="false" ht="15.75" hidden="false" customHeight="true" outlineLevel="0" collapsed="false">
      <c r="V890" s="1"/>
      <c r="W890" s="1"/>
      <c r="X890" s="1"/>
      <c r="Y890" s="1"/>
    </row>
    <row r="891" customFormat="false" ht="15.75" hidden="false" customHeight="true" outlineLevel="0" collapsed="false">
      <c r="V891" s="1"/>
      <c r="W891" s="1"/>
      <c r="X891" s="1"/>
      <c r="Y891" s="1"/>
    </row>
    <row r="892" customFormat="false" ht="15.75" hidden="false" customHeight="true" outlineLevel="0" collapsed="false">
      <c r="V892" s="1"/>
      <c r="W892" s="1"/>
      <c r="X892" s="1"/>
      <c r="Y892" s="1"/>
    </row>
    <row r="893" customFormat="false" ht="15.75" hidden="false" customHeight="true" outlineLevel="0" collapsed="false">
      <c r="V893" s="1"/>
      <c r="W893" s="1"/>
      <c r="X893" s="1"/>
      <c r="Y893" s="1"/>
    </row>
    <row r="894" customFormat="false" ht="15.75" hidden="false" customHeight="true" outlineLevel="0" collapsed="false">
      <c r="V894" s="1"/>
      <c r="W894" s="1"/>
      <c r="X894" s="1"/>
      <c r="Y894" s="1"/>
    </row>
    <row r="895" customFormat="false" ht="15.75" hidden="false" customHeight="true" outlineLevel="0" collapsed="false">
      <c r="V895" s="1"/>
      <c r="W895" s="1"/>
      <c r="X895" s="1"/>
      <c r="Y895" s="1"/>
    </row>
    <row r="896" customFormat="false" ht="15.75" hidden="false" customHeight="true" outlineLevel="0" collapsed="false">
      <c r="V896" s="1"/>
      <c r="W896" s="1"/>
      <c r="X896" s="1"/>
      <c r="Y896" s="1"/>
    </row>
    <row r="897" customFormat="false" ht="15.75" hidden="false" customHeight="true" outlineLevel="0" collapsed="false">
      <c r="V897" s="1"/>
      <c r="W897" s="1"/>
      <c r="X897" s="1"/>
      <c r="Y897" s="1"/>
    </row>
    <row r="898" customFormat="false" ht="15.75" hidden="false" customHeight="true" outlineLevel="0" collapsed="false">
      <c r="V898" s="1"/>
      <c r="W898" s="1"/>
      <c r="X898" s="1"/>
      <c r="Y898" s="1"/>
    </row>
    <row r="899" customFormat="false" ht="15.75" hidden="false" customHeight="true" outlineLevel="0" collapsed="false">
      <c r="V899" s="1"/>
      <c r="W899" s="1"/>
      <c r="X899" s="1"/>
      <c r="Y899" s="1"/>
    </row>
    <row r="900" customFormat="false" ht="15.75" hidden="false" customHeight="true" outlineLevel="0" collapsed="false">
      <c r="V900" s="1"/>
      <c r="W900" s="1"/>
      <c r="X900" s="1"/>
      <c r="Y900" s="1"/>
    </row>
    <row r="901" customFormat="false" ht="15.75" hidden="false" customHeight="true" outlineLevel="0" collapsed="false">
      <c r="V901" s="1"/>
      <c r="W901" s="1"/>
      <c r="X901" s="1"/>
      <c r="Y901" s="1"/>
    </row>
    <row r="902" customFormat="false" ht="15.75" hidden="false" customHeight="true" outlineLevel="0" collapsed="false">
      <c r="V902" s="1"/>
      <c r="W902" s="1"/>
      <c r="X902" s="1"/>
      <c r="Y902" s="1"/>
    </row>
    <row r="903" customFormat="false" ht="15.75" hidden="false" customHeight="true" outlineLevel="0" collapsed="false">
      <c r="V903" s="1"/>
      <c r="W903" s="1"/>
      <c r="X903" s="1"/>
      <c r="Y903" s="1"/>
    </row>
    <row r="904" customFormat="false" ht="15.75" hidden="false" customHeight="true" outlineLevel="0" collapsed="false">
      <c r="V904" s="1"/>
      <c r="W904" s="1"/>
      <c r="X904" s="1"/>
      <c r="Y904" s="1"/>
    </row>
    <row r="905" customFormat="false" ht="15.75" hidden="false" customHeight="true" outlineLevel="0" collapsed="false">
      <c r="V905" s="1"/>
      <c r="W905" s="1"/>
      <c r="X905" s="1"/>
      <c r="Y905" s="1"/>
    </row>
    <row r="906" customFormat="false" ht="15.75" hidden="false" customHeight="true" outlineLevel="0" collapsed="false">
      <c r="V906" s="1"/>
      <c r="W906" s="1"/>
      <c r="X906" s="1"/>
      <c r="Y906" s="1"/>
    </row>
    <row r="907" customFormat="false" ht="15.75" hidden="false" customHeight="true" outlineLevel="0" collapsed="false">
      <c r="V907" s="1"/>
      <c r="W907" s="1"/>
      <c r="X907" s="1"/>
      <c r="Y907" s="1"/>
    </row>
    <row r="908" customFormat="false" ht="15.75" hidden="false" customHeight="true" outlineLevel="0" collapsed="false">
      <c r="V908" s="1"/>
      <c r="W908" s="1"/>
      <c r="X908" s="1"/>
      <c r="Y908" s="1"/>
    </row>
    <row r="909" customFormat="false" ht="15.75" hidden="false" customHeight="true" outlineLevel="0" collapsed="false">
      <c r="V909" s="1"/>
      <c r="W909" s="1"/>
      <c r="X909" s="1"/>
      <c r="Y909" s="1"/>
    </row>
    <row r="910" customFormat="false" ht="15.75" hidden="false" customHeight="true" outlineLevel="0" collapsed="false">
      <c r="V910" s="1"/>
      <c r="W910" s="1"/>
      <c r="X910" s="1"/>
      <c r="Y910" s="1"/>
    </row>
    <row r="911" customFormat="false" ht="15.75" hidden="false" customHeight="true" outlineLevel="0" collapsed="false">
      <c r="V911" s="1"/>
      <c r="W911" s="1"/>
      <c r="X911" s="1"/>
      <c r="Y911" s="1"/>
    </row>
    <row r="912" customFormat="false" ht="15.75" hidden="false" customHeight="true" outlineLevel="0" collapsed="false">
      <c r="V912" s="1"/>
      <c r="W912" s="1"/>
      <c r="X912" s="1"/>
      <c r="Y912" s="1"/>
    </row>
    <row r="913" customFormat="false" ht="15.75" hidden="false" customHeight="true" outlineLevel="0" collapsed="false">
      <c r="V913" s="1"/>
      <c r="W913" s="1"/>
      <c r="X913" s="1"/>
      <c r="Y913" s="1"/>
    </row>
    <row r="914" customFormat="false" ht="15.75" hidden="false" customHeight="true" outlineLevel="0" collapsed="false">
      <c r="V914" s="1"/>
      <c r="W914" s="1"/>
      <c r="X914" s="1"/>
      <c r="Y914" s="1"/>
    </row>
    <row r="915" customFormat="false" ht="15.75" hidden="false" customHeight="true" outlineLevel="0" collapsed="false">
      <c r="V915" s="1"/>
      <c r="W915" s="1"/>
      <c r="X915" s="1"/>
      <c r="Y915" s="1"/>
    </row>
    <row r="916" customFormat="false" ht="15.75" hidden="false" customHeight="true" outlineLevel="0" collapsed="false">
      <c r="V916" s="1"/>
      <c r="W916" s="1"/>
      <c r="X916" s="1"/>
      <c r="Y916" s="1"/>
    </row>
    <row r="917" customFormat="false" ht="15.75" hidden="false" customHeight="true" outlineLevel="0" collapsed="false">
      <c r="V917" s="1"/>
      <c r="W917" s="1"/>
      <c r="X917" s="1"/>
      <c r="Y917" s="1"/>
    </row>
    <row r="918" customFormat="false" ht="15.75" hidden="false" customHeight="true" outlineLevel="0" collapsed="false">
      <c r="V918" s="1"/>
      <c r="W918" s="1"/>
      <c r="X918" s="1"/>
      <c r="Y918" s="1"/>
    </row>
    <row r="919" customFormat="false" ht="15.75" hidden="false" customHeight="true" outlineLevel="0" collapsed="false">
      <c r="V919" s="1"/>
      <c r="W919" s="1"/>
      <c r="X919" s="1"/>
      <c r="Y919" s="1"/>
    </row>
    <row r="920" customFormat="false" ht="15.75" hidden="false" customHeight="true" outlineLevel="0" collapsed="false">
      <c r="V920" s="1"/>
      <c r="W920" s="1"/>
      <c r="X920" s="1"/>
      <c r="Y920" s="1"/>
    </row>
    <row r="921" customFormat="false" ht="15.75" hidden="false" customHeight="true" outlineLevel="0" collapsed="false">
      <c r="V921" s="1"/>
      <c r="W921" s="1"/>
      <c r="X921" s="1"/>
      <c r="Y921" s="1"/>
    </row>
    <row r="922" customFormat="false" ht="15.75" hidden="false" customHeight="true" outlineLevel="0" collapsed="false">
      <c r="V922" s="1"/>
      <c r="W922" s="1"/>
      <c r="X922" s="1"/>
      <c r="Y922" s="1"/>
    </row>
    <row r="923" customFormat="false" ht="15.75" hidden="false" customHeight="true" outlineLevel="0" collapsed="false">
      <c r="V923" s="1"/>
      <c r="W923" s="1"/>
      <c r="X923" s="1"/>
      <c r="Y923" s="1"/>
    </row>
    <row r="924" customFormat="false" ht="15.75" hidden="false" customHeight="true" outlineLevel="0" collapsed="false">
      <c r="V924" s="1"/>
      <c r="W924" s="1"/>
      <c r="X924" s="1"/>
      <c r="Y924" s="1"/>
    </row>
    <row r="925" customFormat="false" ht="15.75" hidden="false" customHeight="true" outlineLevel="0" collapsed="false">
      <c r="V925" s="1"/>
      <c r="W925" s="1"/>
      <c r="X925" s="1"/>
      <c r="Y925" s="1"/>
    </row>
    <row r="926" customFormat="false" ht="15.75" hidden="false" customHeight="true" outlineLevel="0" collapsed="false">
      <c r="V926" s="1"/>
      <c r="W926" s="1"/>
      <c r="X926" s="1"/>
      <c r="Y926" s="1"/>
    </row>
    <row r="927" customFormat="false" ht="15.75" hidden="false" customHeight="true" outlineLevel="0" collapsed="false">
      <c r="V927" s="1"/>
      <c r="W927" s="1"/>
      <c r="X927" s="1"/>
      <c r="Y927" s="1"/>
    </row>
    <row r="928" customFormat="false" ht="15.75" hidden="false" customHeight="true" outlineLevel="0" collapsed="false">
      <c r="V928" s="1"/>
      <c r="W928" s="1"/>
      <c r="X928" s="1"/>
      <c r="Y928" s="1"/>
    </row>
    <row r="929" customFormat="false" ht="15.75" hidden="false" customHeight="true" outlineLevel="0" collapsed="false">
      <c r="V929" s="1"/>
      <c r="W929" s="1"/>
      <c r="X929" s="1"/>
      <c r="Y929" s="1"/>
    </row>
    <row r="930" customFormat="false" ht="15.75" hidden="false" customHeight="true" outlineLevel="0" collapsed="false">
      <c r="V930" s="1"/>
      <c r="W930" s="1"/>
      <c r="X930" s="1"/>
      <c r="Y930" s="1"/>
    </row>
    <row r="931" customFormat="false" ht="15.75" hidden="false" customHeight="true" outlineLevel="0" collapsed="false">
      <c r="V931" s="1"/>
      <c r="W931" s="1"/>
      <c r="X931" s="1"/>
      <c r="Y931" s="1"/>
    </row>
    <row r="932" customFormat="false" ht="15.75" hidden="false" customHeight="true" outlineLevel="0" collapsed="false">
      <c r="V932" s="1"/>
      <c r="W932" s="1"/>
      <c r="X932" s="1"/>
      <c r="Y932" s="1"/>
    </row>
    <row r="933" customFormat="false" ht="15.75" hidden="false" customHeight="true" outlineLevel="0" collapsed="false">
      <c r="V933" s="1"/>
      <c r="W933" s="1"/>
      <c r="X933" s="1"/>
      <c r="Y933" s="1"/>
    </row>
    <row r="934" customFormat="false" ht="15.75" hidden="false" customHeight="true" outlineLevel="0" collapsed="false">
      <c r="V934" s="1"/>
      <c r="W934" s="1"/>
      <c r="X934" s="1"/>
      <c r="Y934" s="1"/>
    </row>
    <row r="935" customFormat="false" ht="15.75" hidden="false" customHeight="true" outlineLevel="0" collapsed="false">
      <c r="V935" s="1"/>
      <c r="W935" s="1"/>
      <c r="X935" s="1"/>
      <c r="Y935" s="1"/>
    </row>
    <row r="936" customFormat="false" ht="15.75" hidden="false" customHeight="true" outlineLevel="0" collapsed="false">
      <c r="V936" s="1"/>
      <c r="W936" s="1"/>
      <c r="X936" s="1"/>
      <c r="Y936" s="1"/>
    </row>
    <row r="937" customFormat="false" ht="15.75" hidden="false" customHeight="true" outlineLevel="0" collapsed="false">
      <c r="V937" s="1"/>
      <c r="W937" s="1"/>
      <c r="X937" s="1"/>
      <c r="Y937" s="1"/>
    </row>
    <row r="938" customFormat="false" ht="15.75" hidden="false" customHeight="true" outlineLevel="0" collapsed="false">
      <c r="V938" s="1"/>
      <c r="W938" s="1"/>
      <c r="X938" s="1"/>
      <c r="Y938" s="1"/>
    </row>
    <row r="939" customFormat="false" ht="15.75" hidden="false" customHeight="true" outlineLevel="0" collapsed="false">
      <c r="V939" s="1"/>
      <c r="W939" s="1"/>
      <c r="X939" s="1"/>
      <c r="Y939" s="1"/>
    </row>
    <row r="940" customFormat="false" ht="15.75" hidden="false" customHeight="true" outlineLevel="0" collapsed="false">
      <c r="V940" s="1"/>
      <c r="W940" s="1"/>
      <c r="X940" s="1"/>
      <c r="Y940" s="1"/>
    </row>
    <row r="941" customFormat="false" ht="15.75" hidden="false" customHeight="true" outlineLevel="0" collapsed="false">
      <c r="V941" s="1"/>
      <c r="W941" s="1"/>
      <c r="X941" s="1"/>
      <c r="Y941" s="1"/>
    </row>
    <row r="942" customFormat="false" ht="15.75" hidden="false" customHeight="true" outlineLevel="0" collapsed="false">
      <c r="V942" s="1"/>
      <c r="W942" s="1"/>
      <c r="X942" s="1"/>
      <c r="Y942" s="1"/>
    </row>
    <row r="943" customFormat="false" ht="15.75" hidden="false" customHeight="true" outlineLevel="0" collapsed="false">
      <c r="V943" s="1"/>
      <c r="W943" s="1"/>
      <c r="X943" s="1"/>
      <c r="Y943" s="1"/>
    </row>
    <row r="944" customFormat="false" ht="15.75" hidden="false" customHeight="true" outlineLevel="0" collapsed="false">
      <c r="V944" s="1"/>
      <c r="W944" s="1"/>
      <c r="X944" s="1"/>
      <c r="Y944" s="1"/>
    </row>
    <row r="945" customFormat="false" ht="15.75" hidden="false" customHeight="true" outlineLevel="0" collapsed="false">
      <c r="V945" s="1"/>
      <c r="W945" s="1"/>
      <c r="X945" s="1"/>
      <c r="Y945" s="1"/>
    </row>
    <row r="946" customFormat="false" ht="15.75" hidden="false" customHeight="true" outlineLevel="0" collapsed="false">
      <c r="V946" s="1"/>
      <c r="W946" s="1"/>
      <c r="X946" s="1"/>
      <c r="Y946" s="1"/>
    </row>
    <row r="947" customFormat="false" ht="15.75" hidden="false" customHeight="true" outlineLevel="0" collapsed="false">
      <c r="V947" s="1"/>
      <c r="W947" s="1"/>
      <c r="X947" s="1"/>
      <c r="Y947" s="1"/>
    </row>
    <row r="948" customFormat="false" ht="15.75" hidden="false" customHeight="true" outlineLevel="0" collapsed="false">
      <c r="V948" s="1"/>
      <c r="W948" s="1"/>
      <c r="X948" s="1"/>
      <c r="Y948" s="1"/>
    </row>
    <row r="949" customFormat="false" ht="15.75" hidden="false" customHeight="true" outlineLevel="0" collapsed="false">
      <c r="V949" s="1"/>
      <c r="W949" s="1"/>
      <c r="X949" s="1"/>
      <c r="Y949" s="1"/>
    </row>
    <row r="950" customFormat="false" ht="15.75" hidden="false" customHeight="true" outlineLevel="0" collapsed="false">
      <c r="V950" s="1"/>
      <c r="W950" s="1"/>
      <c r="X950" s="1"/>
      <c r="Y950" s="1"/>
    </row>
    <row r="951" customFormat="false" ht="15.75" hidden="false" customHeight="true" outlineLevel="0" collapsed="false">
      <c r="V951" s="1"/>
      <c r="W951" s="1"/>
      <c r="X951" s="1"/>
      <c r="Y951" s="1"/>
    </row>
    <row r="952" customFormat="false" ht="15.75" hidden="false" customHeight="true" outlineLevel="0" collapsed="false">
      <c r="V952" s="1"/>
      <c r="W952" s="1"/>
      <c r="X952" s="1"/>
      <c r="Y952" s="1"/>
    </row>
    <row r="953" customFormat="false" ht="15.75" hidden="false" customHeight="true" outlineLevel="0" collapsed="false">
      <c r="V953" s="1"/>
      <c r="W953" s="1"/>
      <c r="X953" s="1"/>
      <c r="Y953" s="1"/>
    </row>
    <row r="954" customFormat="false" ht="15.75" hidden="false" customHeight="true" outlineLevel="0" collapsed="false">
      <c r="V954" s="1"/>
      <c r="W954" s="1"/>
      <c r="X954" s="1"/>
      <c r="Y954" s="1"/>
    </row>
    <row r="955" customFormat="false" ht="15.75" hidden="false" customHeight="true" outlineLevel="0" collapsed="false">
      <c r="V955" s="1"/>
      <c r="W955" s="1"/>
      <c r="X955" s="1"/>
      <c r="Y955" s="1"/>
    </row>
    <row r="956" customFormat="false" ht="15.75" hidden="false" customHeight="true" outlineLevel="0" collapsed="false">
      <c r="V956" s="1"/>
      <c r="W956" s="1"/>
      <c r="X956" s="1"/>
      <c r="Y956" s="1"/>
    </row>
    <row r="957" customFormat="false" ht="15.75" hidden="false" customHeight="true" outlineLevel="0" collapsed="false">
      <c r="V957" s="1"/>
      <c r="W957" s="1"/>
      <c r="X957" s="1"/>
      <c r="Y957" s="1"/>
    </row>
    <row r="958" customFormat="false" ht="15.75" hidden="false" customHeight="true" outlineLevel="0" collapsed="false">
      <c r="V958" s="1"/>
      <c r="W958" s="1"/>
      <c r="X958" s="1"/>
      <c r="Y958" s="1"/>
    </row>
    <row r="959" customFormat="false" ht="15.75" hidden="false" customHeight="true" outlineLevel="0" collapsed="false">
      <c r="V959" s="1"/>
      <c r="W959" s="1"/>
      <c r="X959" s="1"/>
      <c r="Y959" s="1"/>
    </row>
    <row r="960" customFormat="false" ht="15.75" hidden="false" customHeight="true" outlineLevel="0" collapsed="false">
      <c r="V960" s="1"/>
      <c r="W960" s="1"/>
      <c r="X960" s="1"/>
      <c r="Y960" s="1"/>
    </row>
    <row r="961" customFormat="false" ht="15.75" hidden="false" customHeight="true" outlineLevel="0" collapsed="false">
      <c r="V961" s="1"/>
      <c r="W961" s="1"/>
      <c r="X961" s="1"/>
      <c r="Y961" s="1"/>
    </row>
    <row r="962" customFormat="false" ht="15.75" hidden="false" customHeight="true" outlineLevel="0" collapsed="false">
      <c r="V962" s="1"/>
      <c r="W962" s="1"/>
      <c r="X962" s="1"/>
      <c r="Y962" s="1"/>
    </row>
    <row r="963" customFormat="false" ht="15.75" hidden="false" customHeight="true" outlineLevel="0" collapsed="false">
      <c r="V963" s="1"/>
      <c r="W963" s="1"/>
      <c r="X963" s="1"/>
      <c r="Y963" s="1"/>
    </row>
    <row r="964" customFormat="false" ht="15.75" hidden="false" customHeight="true" outlineLevel="0" collapsed="false">
      <c r="V964" s="1"/>
      <c r="W964" s="1"/>
      <c r="X964" s="1"/>
      <c r="Y964" s="1"/>
    </row>
    <row r="965" customFormat="false" ht="15.75" hidden="false" customHeight="true" outlineLevel="0" collapsed="false">
      <c r="V965" s="1"/>
      <c r="W965" s="1"/>
      <c r="X965" s="1"/>
      <c r="Y965" s="1"/>
    </row>
    <row r="966" customFormat="false" ht="15.75" hidden="false" customHeight="true" outlineLevel="0" collapsed="false">
      <c r="V966" s="1"/>
      <c r="W966" s="1"/>
      <c r="X966" s="1"/>
      <c r="Y966" s="1"/>
    </row>
    <row r="967" customFormat="false" ht="15.75" hidden="false" customHeight="true" outlineLevel="0" collapsed="false">
      <c r="V967" s="1"/>
      <c r="W967" s="1"/>
      <c r="X967" s="1"/>
      <c r="Y967" s="1"/>
    </row>
    <row r="968" customFormat="false" ht="15.75" hidden="false" customHeight="true" outlineLevel="0" collapsed="false">
      <c r="V968" s="1"/>
      <c r="W968" s="1"/>
      <c r="X968" s="1"/>
      <c r="Y968" s="1"/>
    </row>
    <row r="969" customFormat="false" ht="15.75" hidden="false" customHeight="true" outlineLevel="0" collapsed="false">
      <c r="V969" s="1"/>
      <c r="W969" s="1"/>
      <c r="X969" s="1"/>
      <c r="Y969" s="1"/>
    </row>
    <row r="970" customFormat="false" ht="15.75" hidden="false" customHeight="true" outlineLevel="0" collapsed="false">
      <c r="V970" s="1"/>
      <c r="W970" s="1"/>
      <c r="X970" s="1"/>
      <c r="Y970" s="1"/>
    </row>
    <row r="971" customFormat="false" ht="15.75" hidden="false" customHeight="true" outlineLevel="0" collapsed="false">
      <c r="V971" s="1"/>
      <c r="W971" s="1"/>
      <c r="X971" s="1"/>
      <c r="Y971" s="1"/>
    </row>
    <row r="972" customFormat="false" ht="15.75" hidden="false" customHeight="true" outlineLevel="0" collapsed="false">
      <c r="V972" s="1"/>
      <c r="W972" s="1"/>
      <c r="X972" s="1"/>
      <c r="Y972" s="1"/>
    </row>
    <row r="973" customFormat="false" ht="15.75" hidden="false" customHeight="true" outlineLevel="0" collapsed="false">
      <c r="V973" s="1"/>
      <c r="W973" s="1"/>
      <c r="X973" s="1"/>
      <c r="Y973" s="1"/>
    </row>
    <row r="974" customFormat="false" ht="15.75" hidden="false" customHeight="true" outlineLevel="0" collapsed="false">
      <c r="V974" s="1"/>
      <c r="W974" s="1"/>
      <c r="X974" s="1"/>
      <c r="Y974" s="1"/>
    </row>
    <row r="975" customFormat="false" ht="15.75" hidden="false" customHeight="true" outlineLevel="0" collapsed="false">
      <c r="V975" s="1"/>
      <c r="W975" s="1"/>
      <c r="X975" s="1"/>
      <c r="Y975" s="1"/>
    </row>
    <row r="976" customFormat="false" ht="15.75" hidden="false" customHeight="true" outlineLevel="0" collapsed="false">
      <c r="V976" s="1"/>
      <c r="W976" s="1"/>
      <c r="X976" s="1"/>
      <c r="Y976" s="1"/>
    </row>
    <row r="977" customFormat="false" ht="15.75" hidden="false" customHeight="true" outlineLevel="0" collapsed="false">
      <c r="V977" s="1"/>
      <c r="W977" s="1"/>
      <c r="X977" s="1"/>
      <c r="Y977" s="1"/>
    </row>
    <row r="978" customFormat="false" ht="15.75" hidden="false" customHeight="true" outlineLevel="0" collapsed="false">
      <c r="V978" s="1"/>
      <c r="W978" s="1"/>
      <c r="X978" s="1"/>
      <c r="Y978" s="1"/>
    </row>
    <row r="979" customFormat="false" ht="15.75" hidden="false" customHeight="true" outlineLevel="0" collapsed="false">
      <c r="V979" s="1"/>
      <c r="W979" s="1"/>
      <c r="X979" s="1"/>
      <c r="Y979" s="1"/>
    </row>
    <row r="980" customFormat="false" ht="15.75" hidden="false" customHeight="true" outlineLevel="0" collapsed="false">
      <c r="V980" s="1"/>
      <c r="W980" s="1"/>
      <c r="X980" s="1"/>
      <c r="Y980" s="1"/>
    </row>
    <row r="981" customFormat="false" ht="15.75" hidden="false" customHeight="true" outlineLevel="0" collapsed="false">
      <c r="V981" s="1"/>
      <c r="W981" s="1"/>
      <c r="X981" s="1"/>
      <c r="Y981" s="1"/>
    </row>
    <row r="982" customFormat="false" ht="15.75" hidden="false" customHeight="true" outlineLevel="0" collapsed="false">
      <c r="V982" s="1"/>
      <c r="W982" s="1"/>
      <c r="X982" s="1"/>
      <c r="Y982" s="1"/>
    </row>
    <row r="983" customFormat="false" ht="15.75" hidden="false" customHeight="true" outlineLevel="0" collapsed="false">
      <c r="V983" s="1"/>
      <c r="W983" s="1"/>
      <c r="X983" s="1"/>
      <c r="Y983" s="1"/>
    </row>
    <row r="984" customFormat="false" ht="15.75" hidden="false" customHeight="true" outlineLevel="0" collapsed="false">
      <c r="V984" s="1"/>
      <c r="W984" s="1"/>
      <c r="X984" s="1"/>
      <c r="Y984" s="1"/>
    </row>
    <row r="985" customFormat="false" ht="15.75" hidden="false" customHeight="true" outlineLevel="0" collapsed="false">
      <c r="V985" s="1"/>
      <c r="W985" s="1"/>
      <c r="X985" s="1"/>
      <c r="Y985" s="1"/>
    </row>
    <row r="986" customFormat="false" ht="15.75" hidden="false" customHeight="true" outlineLevel="0" collapsed="false">
      <c r="V986" s="1"/>
      <c r="W986" s="1"/>
      <c r="X986" s="1"/>
      <c r="Y986" s="1"/>
    </row>
    <row r="987" customFormat="false" ht="15.75" hidden="false" customHeight="true" outlineLevel="0" collapsed="false">
      <c r="V987" s="1"/>
      <c r="W987" s="1"/>
      <c r="X987" s="1"/>
      <c r="Y987" s="1"/>
    </row>
    <row r="988" customFormat="false" ht="15.75" hidden="false" customHeight="true" outlineLevel="0" collapsed="false">
      <c r="V988" s="1"/>
      <c r="W988" s="1"/>
      <c r="X988" s="1"/>
      <c r="Y988" s="1"/>
    </row>
    <row r="989" customFormat="false" ht="15.75" hidden="false" customHeight="true" outlineLevel="0" collapsed="false">
      <c r="V989" s="1"/>
      <c r="W989" s="1"/>
      <c r="X989" s="1"/>
      <c r="Y989" s="1"/>
    </row>
    <row r="990" customFormat="false" ht="15.75" hidden="false" customHeight="true" outlineLevel="0" collapsed="false">
      <c r="V990" s="1"/>
      <c r="W990" s="1"/>
      <c r="X990" s="1"/>
      <c r="Y990" s="1"/>
    </row>
    <row r="991" customFormat="false" ht="15.75" hidden="false" customHeight="true" outlineLevel="0" collapsed="false">
      <c r="V991" s="1"/>
      <c r="W991" s="1"/>
      <c r="X991" s="1"/>
      <c r="Y991" s="1"/>
    </row>
    <row r="992" customFormat="false" ht="15.75" hidden="false" customHeight="true" outlineLevel="0" collapsed="false">
      <c r="V992" s="1"/>
      <c r="W992" s="1"/>
      <c r="X992" s="1"/>
      <c r="Y992" s="1"/>
    </row>
    <row r="993" customFormat="false" ht="15.75" hidden="false" customHeight="true" outlineLevel="0" collapsed="false">
      <c r="V993" s="1"/>
      <c r="W993" s="1"/>
      <c r="X993" s="1"/>
      <c r="Y993" s="1"/>
    </row>
    <row r="994" customFormat="false" ht="15.75" hidden="false" customHeight="true" outlineLevel="0" collapsed="false">
      <c r="V994" s="1"/>
      <c r="W994" s="1"/>
      <c r="X994" s="1"/>
      <c r="Y994" s="1"/>
    </row>
    <row r="995" customFormat="false" ht="15.75" hidden="false" customHeight="true" outlineLevel="0" collapsed="false">
      <c r="V995" s="1"/>
      <c r="W995" s="1"/>
      <c r="X995" s="1"/>
      <c r="Y995" s="1"/>
    </row>
    <row r="996" customFormat="false" ht="15.75" hidden="false" customHeight="true" outlineLevel="0" collapsed="false">
      <c r="V996" s="1"/>
      <c r="W996" s="1"/>
      <c r="X996" s="1"/>
      <c r="Y996" s="1"/>
    </row>
    <row r="997" customFormat="false" ht="15.75" hidden="false" customHeight="true" outlineLevel="0" collapsed="false">
      <c r="V997" s="1"/>
      <c r="W997" s="1"/>
      <c r="X997" s="1"/>
      <c r="Y997" s="1"/>
    </row>
    <row r="998" customFormat="false" ht="15.75" hidden="false" customHeight="true" outlineLevel="0" collapsed="false">
      <c r="V998" s="1"/>
      <c r="W998" s="1"/>
      <c r="X998" s="1"/>
      <c r="Y998" s="1"/>
    </row>
    <row r="999" customFormat="false" ht="15.75" hidden="false" customHeight="true" outlineLevel="0" collapsed="false">
      <c r="V999" s="1"/>
      <c r="W999" s="1"/>
      <c r="X999" s="1"/>
      <c r="Y999" s="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34" t="s">
        <v>325</v>
      </c>
      <c r="W2" s="34"/>
      <c r="X2" s="34"/>
      <c r="Y2" s="34"/>
    </row>
    <row r="3" customFormat="false" ht="12.75" hidden="false" customHeight="true" outlineLevel="0" collapsed="false">
      <c r="A3" s="34" t="s">
        <v>509</v>
      </c>
      <c r="W3" s="34"/>
      <c r="X3" s="34"/>
      <c r="Y3" s="34"/>
    </row>
    <row r="4" customFormat="false" ht="12.75" hidden="false" customHeight="true" outlineLevel="0" collapsed="false">
      <c r="A4" s="34" t="s">
        <v>510</v>
      </c>
      <c r="W4" s="34"/>
      <c r="X4" s="34"/>
      <c r="Y4" s="34"/>
    </row>
    <row r="5" customFormat="false" ht="12.75" hidden="false" customHeight="true" outlineLevel="0" collapsed="false">
      <c r="A5" s="34" t="s">
        <v>511</v>
      </c>
      <c r="W5" s="34"/>
      <c r="X5" s="34"/>
      <c r="Y5" s="34"/>
    </row>
    <row r="6" customFormat="false" ht="12.75" hidden="false" customHeight="true" outlineLevel="0" collapsed="false">
      <c r="A6" s="34" t="s">
        <v>433</v>
      </c>
      <c r="W6" s="34"/>
      <c r="X6" s="34"/>
      <c r="Y6" s="34"/>
    </row>
    <row r="7" customFormat="false" ht="12.75" hidden="false" customHeight="true" outlineLevel="0" collapsed="false">
      <c r="A7" s="34" t="s">
        <v>178</v>
      </c>
      <c r="B7" s="34" t="s">
        <v>425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34" t="s">
        <v>512</v>
      </c>
      <c r="W2" s="34"/>
      <c r="X2" s="34"/>
      <c r="Y2" s="34"/>
    </row>
    <row r="3" customFormat="false" ht="12.75" hidden="false" customHeight="true" outlineLevel="0" collapsed="false">
      <c r="A3" s="34" t="s">
        <v>513</v>
      </c>
      <c r="W3" s="34"/>
      <c r="X3" s="34"/>
      <c r="Y3" s="34"/>
    </row>
    <row r="4" customFormat="false" ht="12.75" hidden="false" customHeight="true" outlineLevel="0" collapsed="false">
      <c r="A4" s="34" t="s">
        <v>514</v>
      </c>
      <c r="W4" s="34"/>
      <c r="X4" s="34"/>
      <c r="Y4" s="34"/>
    </row>
    <row r="5" customFormat="false" ht="12.75" hidden="false" customHeight="true" outlineLevel="0" collapsed="false">
      <c r="A5" s="34" t="s">
        <v>433</v>
      </c>
      <c r="W5" s="34"/>
      <c r="X5" s="34"/>
      <c r="Y5" s="34"/>
    </row>
    <row r="6" customFormat="false" ht="12.75" hidden="false" customHeight="true" outlineLevel="0" collapsed="false">
      <c r="A6" s="34" t="s">
        <v>178</v>
      </c>
      <c r="B6" s="34" t="s">
        <v>425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A18" s="3"/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16.97"/>
    <col collapsed="false" customWidth="true" hidden="false" outlineLevel="0" max="2" min="2" style="1" width="32"/>
    <col collapsed="false" customWidth="true" hidden="false" outlineLevel="0" max="6" min="3" style="1" width="12.86"/>
    <col collapsed="false" customWidth="true" hidden="false" outlineLevel="0" max="22" min="7" style="1" width="8.71"/>
    <col collapsed="false" customWidth="false" hidden="false" outlineLevel="0" max="16384" min="23" style="1" width="14.42"/>
  </cols>
  <sheetData>
    <row r="1" customFormat="false" ht="12.75" hidden="false" customHeight="true" outlineLevel="0" collapsed="false">
      <c r="A1" s="66" t="s">
        <v>417</v>
      </c>
      <c r="B1" s="67" t="s">
        <v>5</v>
      </c>
      <c r="C1" s="68" t="s">
        <v>418</v>
      </c>
    </row>
    <row r="2" customFormat="false" ht="12.75" hidden="false" customHeight="true" outlineLevel="0" collapsed="false">
      <c r="A2" s="23" t="s">
        <v>515</v>
      </c>
      <c r="B2" s="1" t="s">
        <v>516</v>
      </c>
      <c r="C2" s="68"/>
    </row>
    <row r="3" customFormat="false" ht="12.75" hidden="false" customHeight="true" outlineLevel="0" collapsed="false">
      <c r="A3" s="1" t="s">
        <v>340</v>
      </c>
      <c r="B3" s="1" t="s">
        <v>517</v>
      </c>
    </row>
    <row r="4" customFormat="false" ht="12.75" hidden="false" customHeight="true" outlineLevel="0" collapsed="false">
      <c r="A4" s="1" t="s">
        <v>148</v>
      </c>
      <c r="B4" s="1" t="s">
        <v>518</v>
      </c>
    </row>
    <row r="5" customFormat="false" ht="12.75" hidden="false" customHeight="true" outlineLevel="0" collapsed="false">
      <c r="A5" s="1" t="s">
        <v>245</v>
      </c>
      <c r="B5" s="1" t="s">
        <v>519</v>
      </c>
    </row>
    <row r="6" customFormat="false" ht="12.75" hidden="false" customHeight="true" outlineLevel="0" collapsed="false">
      <c r="A6" s="1" t="s">
        <v>520</v>
      </c>
      <c r="B6" s="1" t="s">
        <v>521</v>
      </c>
    </row>
    <row r="7" customFormat="false" ht="12.75" hidden="false" customHeight="true" outlineLevel="0" collapsed="false">
      <c r="A7" s="1" t="s">
        <v>178</v>
      </c>
      <c r="B7" s="1" t="s">
        <v>425</v>
      </c>
    </row>
    <row r="8" customFormat="false" ht="12.75" hidden="false" customHeight="true" outlineLevel="0" collapsed="false">
      <c r="A8" s="1" t="s">
        <v>92</v>
      </c>
      <c r="B8" s="1" t="s">
        <v>92</v>
      </c>
    </row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7.72"/>
    <col collapsed="false" customWidth="true" hidden="false" outlineLevel="0" max="2" min="2" style="34" width="83.3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34" t="s">
        <v>253</v>
      </c>
      <c r="W2" s="34"/>
      <c r="X2" s="34"/>
      <c r="Y2" s="34"/>
    </row>
    <row r="3" customFormat="false" ht="12.75" hidden="false" customHeight="true" outlineLevel="0" collapsed="false">
      <c r="A3" s="34" t="s">
        <v>522</v>
      </c>
      <c r="B3" s="34" t="s">
        <v>523</v>
      </c>
      <c r="W3" s="34"/>
      <c r="X3" s="34"/>
      <c r="Y3" s="34"/>
    </row>
    <row r="4" customFormat="false" ht="12.75" hidden="false" customHeight="true" outlineLevel="0" collapsed="false">
      <c r="A4" s="34" t="s">
        <v>524</v>
      </c>
      <c r="W4" s="34"/>
      <c r="X4" s="34"/>
      <c r="Y4" s="34"/>
    </row>
    <row r="5" customFormat="false" ht="12.75" hidden="false" customHeight="true" outlineLevel="0" collapsed="false">
      <c r="A5" s="34" t="s">
        <v>525</v>
      </c>
      <c r="W5" s="34"/>
      <c r="X5" s="34"/>
      <c r="Y5" s="34"/>
    </row>
    <row r="6" customFormat="false" ht="12.75" hidden="false" customHeight="true" outlineLevel="0" collapsed="false">
      <c r="A6" s="34" t="s">
        <v>526</v>
      </c>
      <c r="W6" s="34"/>
      <c r="X6" s="34"/>
      <c r="Y6" s="34"/>
    </row>
    <row r="7" customFormat="false" ht="12.75" hidden="false" customHeight="true" outlineLevel="0" collapsed="false">
      <c r="A7" s="34" t="s">
        <v>173</v>
      </c>
      <c r="W7" s="34"/>
      <c r="X7" s="34"/>
      <c r="Y7" s="34"/>
    </row>
    <row r="8" customFormat="false" ht="12.75" hidden="false" customHeight="true" outlineLevel="0" collapsed="false">
      <c r="A8" s="34" t="s">
        <v>178</v>
      </c>
      <c r="B8" s="34" t="s">
        <v>425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A77" s="34" t="s">
        <v>527</v>
      </c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84"/>
    <col collapsed="false" customWidth="false" hidden="false" outlineLevel="0" max="2" min="2" style="34" width="14.4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417</v>
      </c>
      <c r="B1" s="65"/>
      <c r="C1" s="62" t="s">
        <v>418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528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529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530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531</v>
      </c>
      <c r="B5" s="34" t="s">
        <v>532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533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433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178</v>
      </c>
      <c r="B8" s="42" t="s">
        <v>425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6"/>
    <col collapsed="false" customWidth="true" hidden="false" outlineLevel="0" max="2" min="2" style="34" width="16.8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34" t="s">
        <v>512</v>
      </c>
      <c r="W2" s="34"/>
      <c r="X2" s="34"/>
      <c r="Y2" s="34"/>
    </row>
    <row r="3" customFormat="false" ht="12.75" hidden="false" customHeight="true" outlineLevel="0" collapsed="false">
      <c r="A3" s="34" t="s">
        <v>514</v>
      </c>
      <c r="W3" s="34"/>
      <c r="X3" s="34"/>
      <c r="Y3" s="34"/>
    </row>
    <row r="4" customFormat="false" ht="12.75" hidden="false" customHeight="true" outlineLevel="0" collapsed="false">
      <c r="A4" s="34" t="s">
        <v>513</v>
      </c>
      <c r="W4" s="34"/>
      <c r="X4" s="34"/>
      <c r="Y4" s="34"/>
    </row>
    <row r="5" customFormat="false" ht="12.75" hidden="false" customHeight="true" outlineLevel="0" collapsed="false">
      <c r="A5" s="34" t="s">
        <v>173</v>
      </c>
      <c r="W5" s="34"/>
      <c r="X5" s="34"/>
      <c r="Y5" s="34"/>
    </row>
    <row r="6" customFormat="false" ht="12.75" hidden="false" customHeight="true" outlineLevel="0" collapsed="false">
      <c r="A6" s="34" t="s">
        <v>178</v>
      </c>
      <c r="B6" s="34" t="s">
        <v>425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A75" s="34" t="s">
        <v>527</v>
      </c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6.03"/>
    <col collapsed="false" customWidth="true" hidden="false" outlineLevel="0" max="2" min="2" style="34" width="40.6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534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535</v>
      </c>
      <c r="B4" s="34" t="s">
        <v>536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433</v>
      </c>
      <c r="B5" s="34" t="s">
        <v>537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178</v>
      </c>
      <c r="B6" s="34" t="s">
        <v>425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A10" s="73"/>
      <c r="W10" s="34"/>
      <c r="X10" s="34"/>
      <c r="Y10" s="34"/>
      <c r="Z10" s="34"/>
    </row>
    <row r="11" customFormat="false" ht="12.75" hidden="false" customHeight="true" outlineLevel="0" collapsed="false">
      <c r="A11" s="73"/>
      <c r="W11" s="34"/>
      <c r="X11" s="34"/>
      <c r="Y11" s="34"/>
      <c r="Z11" s="34"/>
    </row>
    <row r="12" customFormat="false" ht="12.75" hidden="false" customHeight="true" outlineLevel="0" collapsed="false">
      <c r="A12" s="73"/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A29" s="3"/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29.0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417</v>
      </c>
      <c r="B1" s="65"/>
      <c r="C1" s="62" t="s">
        <v>418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538</v>
      </c>
      <c r="B2" s="42" t="s">
        <v>539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540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541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542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543</v>
      </c>
      <c r="B6" s="34" t="s">
        <v>544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433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178</v>
      </c>
      <c r="B9" s="42" t="s">
        <v>425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92</v>
      </c>
      <c r="B10" s="42" t="s">
        <v>92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4.08"/>
    <col collapsed="false" customWidth="true" hidden="false" outlineLevel="0" max="2" min="2" style="34" width="77.91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417</v>
      </c>
      <c r="B1" s="65"/>
      <c r="C1" s="62" t="s">
        <v>418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545</v>
      </c>
      <c r="B2" s="34" t="s">
        <v>546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547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548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364</v>
      </c>
      <c r="B5" s="34" t="s">
        <v>549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550</v>
      </c>
      <c r="B6" s="34" t="s">
        <v>551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552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553</v>
      </c>
      <c r="B8" s="34" t="s">
        <v>554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555</v>
      </c>
      <c r="B9" s="34" t="s">
        <v>556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557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74" t="s">
        <v>558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4" t="s">
        <v>559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34" t="s">
        <v>560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34" t="s">
        <v>433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34" t="s">
        <v>178</v>
      </c>
      <c r="B15" s="34" t="s">
        <v>425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34" t="s">
        <v>92</v>
      </c>
      <c r="B16" s="34" t="s">
        <v>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2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customFormat="false" ht="12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customFormat="false" ht="12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customFormat="false" ht="12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customFormat="false" ht="12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customFormat="false" ht="12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  <row r="1002" customFormat="false" ht="15.75" hidden="false" customHeight="true" outlineLevel="0" collapsed="false">
      <c r="W1002" s="34"/>
      <c r="X1002" s="34"/>
      <c r="Y1002" s="34"/>
      <c r="Z1002" s="34"/>
    </row>
    <row r="1003" customFormat="false" ht="15.75" hidden="false" customHeight="true" outlineLevel="0" collapsed="false">
      <c r="W1003" s="34"/>
      <c r="X1003" s="34"/>
      <c r="Y1003" s="34"/>
      <c r="Z1003" s="34"/>
    </row>
    <row r="1004" customFormat="false" ht="15.75" hidden="false" customHeight="true" outlineLevel="0" collapsed="false">
      <c r="W1004" s="34"/>
      <c r="X1004" s="34"/>
      <c r="Y1004" s="34"/>
      <c r="Z1004" s="34"/>
    </row>
    <row r="1005" customFormat="false" ht="15.75" hidden="false" customHeight="true" outlineLevel="0" collapsed="false">
      <c r="W1005" s="34"/>
      <c r="X1005" s="34"/>
      <c r="Y1005" s="34"/>
      <c r="Z1005" s="34"/>
    </row>
    <row r="1006" customFormat="false" ht="15.75" hidden="false" customHeight="true" outlineLevel="0" collapsed="false">
      <c r="W1006" s="34"/>
      <c r="X1006" s="34"/>
      <c r="Y1006" s="34"/>
      <c r="Z1006" s="34"/>
    </row>
    <row r="1007" customFormat="false" ht="15.75" hidden="false" customHeight="true" outlineLevel="0" collapsed="false">
      <c r="W1007" s="34"/>
      <c r="X1007" s="34"/>
      <c r="Y1007" s="34"/>
      <c r="Z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8.4"/>
    <col collapsed="false" customWidth="true" hidden="false" outlineLevel="0" max="2" min="2" style="34" width="63.58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417</v>
      </c>
      <c r="B1" s="61" t="s">
        <v>5</v>
      </c>
      <c r="W1" s="34"/>
      <c r="X1" s="34"/>
      <c r="Y1" s="34"/>
    </row>
    <row r="2" customFormat="false" ht="12.75" hidden="false" customHeight="true" outlineLevel="0" collapsed="false">
      <c r="A2" s="34" t="s">
        <v>561</v>
      </c>
      <c r="W2" s="34"/>
      <c r="X2" s="34"/>
      <c r="Y2" s="34"/>
    </row>
    <row r="3" customFormat="false" ht="12.75" hidden="false" customHeight="true" outlineLevel="0" collapsed="false">
      <c r="A3" s="34" t="s">
        <v>562</v>
      </c>
      <c r="W3" s="34"/>
      <c r="X3" s="34"/>
      <c r="Y3" s="34"/>
    </row>
    <row r="4" customFormat="false" ht="12.75" hidden="false" customHeight="true" outlineLevel="0" collapsed="false">
      <c r="A4" s="34" t="s">
        <v>563</v>
      </c>
      <c r="B4" s="34" t="s">
        <v>564</v>
      </c>
      <c r="W4" s="34"/>
      <c r="X4" s="34"/>
      <c r="Y4" s="34"/>
    </row>
    <row r="5" customFormat="false" ht="12.75" hidden="false" customHeight="true" outlineLevel="0" collapsed="false">
      <c r="A5" s="34" t="s">
        <v>565</v>
      </c>
      <c r="W5" s="34"/>
      <c r="X5" s="34"/>
      <c r="Y5" s="34"/>
    </row>
    <row r="6" customFormat="false" ht="12.75" hidden="false" customHeight="true" outlineLevel="0" collapsed="false">
      <c r="A6" s="34" t="s">
        <v>566</v>
      </c>
      <c r="W6" s="34"/>
      <c r="X6" s="34"/>
      <c r="Y6" s="34"/>
    </row>
    <row r="7" customFormat="false" ht="12.75" hidden="false" customHeight="true" outlineLevel="0" collapsed="false">
      <c r="A7" s="34" t="s">
        <v>567</v>
      </c>
      <c r="B7" s="34" t="s">
        <v>568</v>
      </c>
      <c r="W7" s="34"/>
      <c r="X7" s="34"/>
      <c r="Y7" s="34"/>
    </row>
    <row r="8" customFormat="false" ht="12.75" hidden="false" customHeight="true" outlineLevel="0" collapsed="false">
      <c r="A8" s="34" t="s">
        <v>569</v>
      </c>
      <c r="W8" s="34"/>
      <c r="X8" s="34"/>
      <c r="Y8" s="34"/>
    </row>
    <row r="9" customFormat="false" ht="12.75" hidden="false" customHeight="true" outlineLevel="0" collapsed="false">
      <c r="A9" s="34" t="s">
        <v>570</v>
      </c>
      <c r="W9" s="34"/>
      <c r="X9" s="34"/>
      <c r="Y9" s="34"/>
    </row>
    <row r="10" customFormat="false" ht="12.75" hidden="false" customHeight="true" outlineLevel="0" collapsed="false">
      <c r="A10" s="34" t="s">
        <v>571</v>
      </c>
      <c r="W10" s="34"/>
      <c r="X10" s="34"/>
      <c r="Y10" s="34"/>
    </row>
    <row r="11" customFormat="false" ht="12.75" hidden="false" customHeight="true" outlineLevel="0" collapsed="false">
      <c r="A11" s="34" t="s">
        <v>572</v>
      </c>
      <c r="W11" s="34"/>
      <c r="X11" s="34"/>
      <c r="Y11" s="34"/>
    </row>
    <row r="12" customFormat="false" ht="12.75" hidden="false" customHeight="true" outlineLevel="0" collapsed="false">
      <c r="A12" s="34" t="s">
        <v>573</v>
      </c>
      <c r="W12" s="34"/>
      <c r="X12" s="34"/>
      <c r="Y12" s="34"/>
    </row>
    <row r="13" customFormat="false" ht="12.75" hidden="false" customHeight="true" outlineLevel="0" collapsed="false">
      <c r="A13" s="34" t="s">
        <v>574</v>
      </c>
      <c r="W13" s="34"/>
      <c r="X13" s="34"/>
      <c r="Y13" s="34"/>
    </row>
    <row r="14" customFormat="false" ht="12.75" hidden="false" customHeight="true" outlineLevel="0" collapsed="false">
      <c r="A14" s="34" t="s">
        <v>575</v>
      </c>
      <c r="B14" s="34" t="s">
        <v>576</v>
      </c>
      <c r="W14" s="34"/>
      <c r="X14" s="34"/>
      <c r="Y14" s="34"/>
    </row>
    <row r="15" customFormat="false" ht="12.75" hidden="false" customHeight="true" outlineLevel="0" collapsed="false">
      <c r="A15" s="34" t="s">
        <v>577</v>
      </c>
      <c r="W15" s="34"/>
      <c r="X15" s="34"/>
      <c r="Y15" s="34"/>
    </row>
    <row r="16" customFormat="false" ht="12.75" hidden="false" customHeight="true" outlineLevel="0" collapsed="false">
      <c r="A16" s="34" t="s">
        <v>578</v>
      </c>
      <c r="C16" s="62" t="s">
        <v>418</v>
      </c>
      <c r="W16" s="34"/>
      <c r="X16" s="34"/>
      <c r="Y16" s="34"/>
    </row>
    <row r="17" customFormat="false" ht="12.75" hidden="false" customHeight="true" outlineLevel="0" collapsed="false">
      <c r="A17" s="34" t="s">
        <v>579</v>
      </c>
      <c r="B17" s="34" t="s">
        <v>580</v>
      </c>
      <c r="W17" s="34"/>
      <c r="X17" s="34"/>
      <c r="Y17" s="34"/>
    </row>
    <row r="18" customFormat="false" ht="12.75" hidden="false" customHeight="true" outlineLevel="0" collapsed="false">
      <c r="A18" s="34" t="s">
        <v>581</v>
      </c>
      <c r="B18" s="34" t="s">
        <v>582</v>
      </c>
      <c r="W18" s="34"/>
      <c r="X18" s="34"/>
      <c r="Y18" s="34"/>
    </row>
    <row r="19" customFormat="false" ht="12.75" hidden="false" customHeight="true" outlineLevel="0" collapsed="false">
      <c r="A19" s="34" t="s">
        <v>583</v>
      </c>
      <c r="B19" s="34" t="s">
        <v>582</v>
      </c>
      <c r="W19" s="34"/>
      <c r="X19" s="34"/>
      <c r="Y19" s="34"/>
    </row>
    <row r="20" customFormat="false" ht="12.75" hidden="false" customHeight="true" outlineLevel="0" collapsed="false">
      <c r="A20" s="34" t="s">
        <v>584</v>
      </c>
      <c r="B20" s="34" t="s">
        <v>585</v>
      </c>
      <c r="W20" s="34"/>
      <c r="X20" s="34"/>
      <c r="Y20" s="34"/>
    </row>
    <row r="21" customFormat="false" ht="12.75" hidden="false" customHeight="true" outlineLevel="0" collapsed="false">
      <c r="A21" s="34" t="s">
        <v>586</v>
      </c>
      <c r="W21" s="34"/>
      <c r="X21" s="34"/>
      <c r="Y21" s="34"/>
    </row>
    <row r="22" customFormat="false" ht="12.75" hidden="false" customHeight="true" outlineLevel="0" collapsed="false">
      <c r="A22" s="34" t="s">
        <v>587</v>
      </c>
      <c r="W22" s="34"/>
      <c r="X22" s="34"/>
      <c r="Y22" s="34"/>
    </row>
    <row r="23" customFormat="false" ht="12.75" hidden="false" customHeight="true" outlineLevel="0" collapsed="false">
      <c r="A23" s="34" t="s">
        <v>588</v>
      </c>
      <c r="W23" s="34"/>
      <c r="X23" s="34"/>
      <c r="Y23" s="34"/>
    </row>
    <row r="24" customFormat="false" ht="12.75" hidden="false" customHeight="true" outlineLevel="0" collapsed="false">
      <c r="A24" s="34" t="s">
        <v>589</v>
      </c>
      <c r="W24" s="34"/>
      <c r="X24" s="34"/>
      <c r="Y24" s="34"/>
    </row>
    <row r="25" customFormat="false" ht="12.75" hidden="false" customHeight="true" outlineLevel="0" collapsed="false">
      <c r="A25" s="34" t="s">
        <v>590</v>
      </c>
      <c r="W25" s="34"/>
      <c r="X25" s="34"/>
      <c r="Y25" s="34"/>
    </row>
    <row r="26" customFormat="false" ht="12.75" hidden="false" customHeight="true" outlineLevel="0" collapsed="false">
      <c r="A26" s="34" t="s">
        <v>591</v>
      </c>
      <c r="W26" s="34"/>
      <c r="X26" s="34"/>
      <c r="Y26" s="34"/>
    </row>
    <row r="27" customFormat="false" ht="12.75" hidden="false" customHeight="true" outlineLevel="0" collapsed="false">
      <c r="A27" s="34" t="s">
        <v>592</v>
      </c>
      <c r="B27" s="34" t="s">
        <v>593</v>
      </c>
      <c r="W27" s="34"/>
      <c r="X27" s="34"/>
      <c r="Y27" s="34"/>
    </row>
    <row r="28" customFormat="false" ht="12.75" hidden="false" customHeight="true" outlineLevel="0" collapsed="false">
      <c r="A28" s="34" t="s">
        <v>594</v>
      </c>
      <c r="B28" s="34" t="s">
        <v>595</v>
      </c>
      <c r="W28" s="34"/>
      <c r="X28" s="34"/>
      <c r="Y28" s="34"/>
    </row>
    <row r="29" customFormat="false" ht="12.75" hidden="false" customHeight="true" outlineLevel="0" collapsed="false">
      <c r="A29" s="34" t="s">
        <v>596</v>
      </c>
      <c r="B29" s="34" t="s">
        <v>597</v>
      </c>
      <c r="W29" s="34"/>
      <c r="X29" s="34"/>
      <c r="Y29" s="34"/>
    </row>
    <row r="30" customFormat="false" ht="12.75" hidden="false" customHeight="true" outlineLevel="0" collapsed="false">
      <c r="A30" s="34" t="s">
        <v>598</v>
      </c>
      <c r="B30" s="34" t="s">
        <v>599</v>
      </c>
      <c r="W30" s="34"/>
      <c r="X30" s="34"/>
      <c r="Y30" s="34"/>
    </row>
    <row r="31" customFormat="false" ht="12.75" hidden="false" customHeight="true" outlineLevel="0" collapsed="false">
      <c r="A31" s="34" t="s">
        <v>600</v>
      </c>
      <c r="B31" s="34" t="s">
        <v>601</v>
      </c>
      <c r="W31" s="34"/>
      <c r="X31" s="34"/>
      <c r="Y31" s="34"/>
    </row>
    <row r="32" customFormat="false" ht="12.75" hidden="false" customHeight="true" outlineLevel="0" collapsed="false">
      <c r="A32" s="34" t="s">
        <v>602</v>
      </c>
      <c r="W32" s="34"/>
      <c r="X32" s="34"/>
      <c r="Y32" s="34"/>
    </row>
    <row r="33" customFormat="false" ht="12.75" hidden="false" customHeight="true" outlineLevel="0" collapsed="false">
      <c r="A33" s="34" t="s">
        <v>603</v>
      </c>
      <c r="B33" s="34" t="s">
        <v>604</v>
      </c>
      <c r="W33" s="34"/>
      <c r="X33" s="34"/>
      <c r="Y33" s="34"/>
    </row>
    <row r="34" customFormat="false" ht="12.75" hidden="false" customHeight="true" outlineLevel="0" collapsed="false">
      <c r="A34" s="34" t="s">
        <v>605</v>
      </c>
      <c r="W34" s="34"/>
      <c r="X34" s="34"/>
      <c r="Y34" s="34"/>
    </row>
    <row r="35" customFormat="false" ht="12.75" hidden="false" customHeight="true" outlineLevel="0" collapsed="false">
      <c r="A35" s="34" t="s">
        <v>606</v>
      </c>
      <c r="W35" s="34"/>
      <c r="X35" s="34"/>
      <c r="Y35" s="34"/>
    </row>
    <row r="36" customFormat="false" ht="12.75" hidden="false" customHeight="true" outlineLevel="0" collapsed="false">
      <c r="A36" s="34" t="s">
        <v>607</v>
      </c>
      <c r="W36" s="34"/>
      <c r="X36" s="34"/>
      <c r="Y36" s="34"/>
    </row>
    <row r="37" customFormat="false" ht="12.75" hidden="false" customHeight="true" outlineLevel="0" collapsed="false">
      <c r="A37" s="34" t="s">
        <v>608</v>
      </c>
      <c r="W37" s="34"/>
      <c r="X37" s="34"/>
      <c r="Y37" s="34"/>
    </row>
    <row r="38" customFormat="false" ht="12.75" hidden="false" customHeight="true" outlineLevel="0" collapsed="false">
      <c r="A38" s="34" t="s">
        <v>609</v>
      </c>
      <c r="W38" s="34"/>
      <c r="X38" s="34"/>
      <c r="Y38" s="34"/>
    </row>
    <row r="39" customFormat="false" ht="12.75" hidden="false" customHeight="true" outlineLevel="0" collapsed="false">
      <c r="A39" s="34" t="s">
        <v>433</v>
      </c>
      <c r="W39" s="34"/>
      <c r="X39" s="34"/>
      <c r="Y39" s="34"/>
    </row>
    <row r="40" customFormat="false" ht="12.75" hidden="false" customHeight="true" outlineLevel="0" collapsed="false">
      <c r="A40" s="34" t="s">
        <v>178</v>
      </c>
      <c r="B40" s="34" t="s">
        <v>425</v>
      </c>
      <c r="W40" s="34"/>
      <c r="X40" s="34"/>
      <c r="Y40" s="34"/>
    </row>
    <row r="41" customFormat="false" ht="12.75" hidden="false" customHeight="true" outlineLevel="0" collapsed="false">
      <c r="A41" s="34" t="s">
        <v>92</v>
      </c>
      <c r="B41" s="34" t="s">
        <v>92</v>
      </c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A47" s="3"/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2.75" hidden="false" customHeight="true" outlineLevel="0" collapsed="false">
      <c r="W224" s="34"/>
      <c r="X224" s="34"/>
      <c r="Y224" s="34"/>
    </row>
    <row r="225" customFormat="false" ht="12.75" hidden="false" customHeight="true" outlineLevel="0" collapsed="false">
      <c r="W225" s="34"/>
      <c r="X225" s="34"/>
      <c r="Y225" s="34"/>
    </row>
    <row r="226" customFormat="false" ht="12.75" hidden="false" customHeight="true" outlineLevel="0" collapsed="false">
      <c r="W226" s="34"/>
      <c r="X226" s="34"/>
      <c r="Y226" s="34"/>
    </row>
    <row r="227" customFormat="false" ht="12.75" hidden="false" customHeight="true" outlineLevel="0" collapsed="false">
      <c r="W227" s="34"/>
      <c r="X227" s="34"/>
      <c r="Y227" s="34"/>
    </row>
    <row r="228" customFormat="false" ht="12.75" hidden="false" customHeight="true" outlineLevel="0" collapsed="false">
      <c r="W228" s="34"/>
      <c r="X228" s="34"/>
      <c r="Y228" s="34"/>
    </row>
    <row r="229" customFormat="false" ht="12.75" hidden="false" customHeight="true" outlineLevel="0" collapsed="false">
      <c r="W229" s="34"/>
      <c r="X229" s="34"/>
      <c r="Y229" s="34"/>
    </row>
    <row r="230" customFormat="false" ht="12.75" hidden="false" customHeight="true" outlineLevel="0" collapsed="false">
      <c r="W230" s="34"/>
      <c r="X230" s="34"/>
      <c r="Y230" s="34"/>
    </row>
    <row r="231" customFormat="false" ht="12.75" hidden="false" customHeight="true" outlineLevel="0" collapsed="false">
      <c r="W231" s="34"/>
      <c r="X231" s="34"/>
      <c r="Y231" s="34"/>
    </row>
    <row r="232" customFormat="false" ht="12.75" hidden="false" customHeight="true" outlineLevel="0" collapsed="false">
      <c r="W232" s="34"/>
      <c r="X232" s="34"/>
      <c r="Y232" s="34"/>
    </row>
    <row r="233" customFormat="false" ht="12.75" hidden="false" customHeight="true" outlineLevel="0" collapsed="false">
      <c r="W233" s="34"/>
      <c r="X233" s="34"/>
      <c r="Y233" s="34"/>
    </row>
    <row r="234" customFormat="false" ht="12.75" hidden="false" customHeight="true" outlineLevel="0" collapsed="false">
      <c r="W234" s="34"/>
      <c r="X234" s="34"/>
      <c r="Y234" s="34"/>
    </row>
    <row r="235" customFormat="false" ht="12.75" hidden="false" customHeight="true" outlineLevel="0" collapsed="false">
      <c r="W235" s="34"/>
      <c r="X235" s="34"/>
      <c r="Y235" s="34"/>
    </row>
    <row r="236" customFormat="false" ht="12.75" hidden="false" customHeight="true" outlineLevel="0" collapsed="false">
      <c r="W236" s="34"/>
      <c r="X236" s="34"/>
      <c r="Y236" s="34"/>
    </row>
    <row r="237" customFormat="false" ht="12.75" hidden="false" customHeight="true" outlineLevel="0" collapsed="false">
      <c r="W237" s="34"/>
      <c r="X237" s="34"/>
      <c r="Y237" s="34"/>
    </row>
    <row r="238" customFormat="false" ht="12.75" hidden="false" customHeight="true" outlineLevel="0" collapsed="false">
      <c r="W238" s="34"/>
      <c r="X238" s="34"/>
      <c r="Y238" s="34"/>
    </row>
    <row r="239" customFormat="false" ht="12.75" hidden="false" customHeight="true" outlineLevel="0" collapsed="false">
      <c r="W239" s="34"/>
      <c r="X239" s="34"/>
      <c r="Y239" s="34"/>
    </row>
    <row r="240" customFormat="false" ht="12.75" hidden="false" customHeight="true" outlineLevel="0" collapsed="false">
      <c r="W240" s="34"/>
      <c r="X240" s="34"/>
      <c r="Y240" s="34"/>
    </row>
    <row r="241" customFormat="false" ht="12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04" customFormat="false" ht="15.75" hidden="false" customHeight="true" outlineLevel="0" collapsed="false">
      <c r="W1004" s="34"/>
      <c r="X1004" s="34"/>
      <c r="Y1004" s="34"/>
    </row>
    <row r="1005" customFormat="false" ht="15.75" hidden="false" customHeight="true" outlineLevel="0" collapsed="false">
      <c r="W1005" s="34"/>
      <c r="X1005" s="34"/>
      <c r="Y1005" s="34"/>
    </row>
    <row r="1006" customFormat="false" ht="15.75" hidden="false" customHeight="true" outlineLevel="0" collapsed="false">
      <c r="W1006" s="34"/>
      <c r="X1006" s="34"/>
      <c r="Y1006" s="34"/>
    </row>
    <row r="1007" customFormat="false" ht="15.75" hidden="false" customHeight="true" outlineLevel="0" collapsed="false">
      <c r="W1007" s="34"/>
      <c r="X1007" s="34"/>
      <c r="Y1007" s="34"/>
    </row>
  </sheetData>
  <hyperlinks>
    <hyperlink ref="C16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6" min="3" style="34" width="14.14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610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611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612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173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433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178</v>
      </c>
      <c r="B7" s="34" t="s">
        <v>425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4" min="3" style="34" width="14.14"/>
    <col collapsed="false" customWidth="true" hidden="false" outlineLevel="0" max="20" min="5" style="34" width="8.71"/>
    <col collapsed="false" customWidth="true" hidden="false" outlineLevel="0" max="16384" min="16383" style="3" width="11.53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U1" s="34"/>
      <c r="V1" s="34"/>
      <c r="W1" s="34"/>
      <c r="X1" s="34"/>
    </row>
    <row r="2" customFormat="false" ht="12.75" hidden="false" customHeight="true" outlineLevel="0" collapsed="false">
      <c r="A2" s="34" t="s">
        <v>613</v>
      </c>
      <c r="U2" s="34"/>
      <c r="V2" s="34"/>
      <c r="W2" s="34"/>
      <c r="X2" s="34"/>
    </row>
    <row r="3" customFormat="false" ht="12.75" hidden="false" customHeight="true" outlineLevel="0" collapsed="false">
      <c r="A3" s="34" t="s">
        <v>614</v>
      </c>
      <c r="U3" s="34"/>
      <c r="V3" s="34"/>
      <c r="W3" s="34"/>
      <c r="X3" s="34"/>
    </row>
    <row r="4" customFormat="false" ht="12.75" hidden="false" customHeight="true" outlineLevel="0" collapsed="false">
      <c r="A4" s="34" t="s">
        <v>615</v>
      </c>
      <c r="U4" s="34"/>
      <c r="V4" s="34"/>
      <c r="W4" s="34"/>
      <c r="X4" s="34"/>
    </row>
    <row r="5" customFormat="false" ht="12.75" hidden="false" customHeight="true" outlineLevel="0" collapsed="false">
      <c r="A5" s="34" t="s">
        <v>616</v>
      </c>
      <c r="U5" s="34"/>
      <c r="V5" s="34"/>
      <c r="W5" s="34"/>
      <c r="X5" s="34"/>
    </row>
    <row r="6" customFormat="false" ht="12.75" hidden="false" customHeight="true" outlineLevel="0" collapsed="false">
      <c r="A6" s="34" t="s">
        <v>617</v>
      </c>
      <c r="U6" s="34"/>
      <c r="V6" s="34"/>
      <c r="W6" s="34"/>
      <c r="X6" s="34"/>
    </row>
    <row r="7" customFormat="false" ht="12.75" hidden="false" customHeight="true" outlineLevel="0" collapsed="false">
      <c r="A7" s="34" t="s">
        <v>618</v>
      </c>
      <c r="U7" s="34"/>
      <c r="V7" s="34"/>
      <c r="W7" s="34"/>
      <c r="X7" s="34"/>
    </row>
    <row r="8" customFormat="false" ht="12.75" hidden="false" customHeight="true" outlineLevel="0" collapsed="false">
      <c r="A8" s="34" t="s">
        <v>619</v>
      </c>
      <c r="U8" s="34"/>
      <c r="V8" s="34"/>
      <c r="W8" s="34"/>
      <c r="X8" s="34"/>
    </row>
    <row r="9" customFormat="false" ht="12.75" hidden="false" customHeight="true" outlineLevel="0" collapsed="false">
      <c r="A9" s="34" t="s">
        <v>620</v>
      </c>
      <c r="U9" s="34"/>
      <c r="V9" s="34"/>
      <c r="W9" s="34"/>
      <c r="X9" s="34"/>
    </row>
    <row r="10" customFormat="false" ht="12.75" hidden="false" customHeight="true" outlineLevel="0" collapsed="false">
      <c r="A10" s="34" t="s">
        <v>621</v>
      </c>
      <c r="U10" s="34"/>
      <c r="V10" s="34"/>
      <c r="W10" s="34"/>
      <c r="X10" s="34"/>
    </row>
    <row r="11" customFormat="false" ht="12.75" hidden="false" customHeight="true" outlineLevel="0" collapsed="false">
      <c r="A11" s="34" t="s">
        <v>622</v>
      </c>
      <c r="U11" s="34"/>
      <c r="V11" s="34"/>
      <c r="W11" s="34"/>
      <c r="X11" s="34"/>
    </row>
    <row r="12" customFormat="false" ht="12.75" hidden="false" customHeight="true" outlineLevel="0" collapsed="false">
      <c r="A12" s="34" t="s">
        <v>623</v>
      </c>
      <c r="U12" s="34"/>
      <c r="V12" s="34"/>
      <c r="W12" s="34"/>
      <c r="X12" s="34"/>
    </row>
    <row r="13" customFormat="false" ht="12.75" hidden="false" customHeight="true" outlineLevel="0" collapsed="false">
      <c r="A13" s="34" t="s">
        <v>433</v>
      </c>
      <c r="U13" s="34"/>
      <c r="V13" s="34"/>
      <c r="W13" s="34"/>
      <c r="X13" s="34"/>
    </row>
    <row r="14" customFormat="false" ht="12.75" hidden="false" customHeight="true" outlineLevel="0" collapsed="false">
      <c r="A14" s="34" t="s">
        <v>178</v>
      </c>
      <c r="B14" s="34" t="s">
        <v>425</v>
      </c>
      <c r="U14" s="34"/>
      <c r="V14" s="34"/>
      <c r="W14" s="34"/>
      <c r="X14" s="34"/>
    </row>
    <row r="15" customFormat="false" ht="12.75" hidden="false" customHeight="true" outlineLevel="0" collapsed="false">
      <c r="A15" s="34" t="s">
        <v>92</v>
      </c>
      <c r="B15" s="34" t="s">
        <v>92</v>
      </c>
      <c r="U15" s="34"/>
      <c r="V15" s="34"/>
      <c r="W15" s="34"/>
      <c r="X15" s="34"/>
    </row>
    <row r="16" customFormat="false" ht="12.75" hidden="false" customHeight="true" outlineLevel="0" collapsed="false">
      <c r="U16" s="34"/>
      <c r="V16" s="34"/>
      <c r="W16" s="34"/>
      <c r="X16" s="34"/>
    </row>
    <row r="17" customFormat="false" ht="12.75" hidden="false" customHeight="true" outlineLevel="0" collapsed="false">
      <c r="U17" s="34"/>
      <c r="V17" s="34"/>
      <c r="W17" s="34"/>
      <c r="X17" s="34"/>
    </row>
    <row r="18" customFormat="false" ht="12.75" hidden="false" customHeight="true" outlineLevel="0" collapsed="false">
      <c r="U18" s="34"/>
      <c r="V18" s="34"/>
      <c r="W18" s="34"/>
      <c r="X18" s="34"/>
    </row>
    <row r="19" customFormat="false" ht="12.75" hidden="false" customHeight="true" outlineLevel="0" collapsed="false">
      <c r="U19" s="34"/>
      <c r="V19" s="34"/>
      <c r="W19" s="34"/>
      <c r="X19" s="34"/>
    </row>
    <row r="20" customFormat="false" ht="12.75" hidden="false" customHeight="true" outlineLevel="0" collapsed="false">
      <c r="U20" s="34"/>
      <c r="V20" s="34"/>
      <c r="W20" s="34"/>
      <c r="X20" s="34"/>
    </row>
    <row r="21" customFormat="false" ht="12.75" hidden="false" customHeight="true" outlineLevel="0" collapsed="false">
      <c r="U21" s="34"/>
      <c r="V21" s="34"/>
      <c r="W21" s="34"/>
      <c r="X21" s="34"/>
    </row>
    <row r="22" customFormat="false" ht="12.75" hidden="false" customHeight="true" outlineLevel="0" collapsed="false">
      <c r="U22" s="34"/>
      <c r="V22" s="34"/>
      <c r="W22" s="34"/>
      <c r="X22" s="34"/>
    </row>
    <row r="23" customFormat="false" ht="12.75" hidden="false" customHeight="true" outlineLevel="0" collapsed="false">
      <c r="U23" s="34"/>
      <c r="V23" s="34"/>
      <c r="W23" s="34"/>
      <c r="X23" s="34"/>
    </row>
    <row r="24" customFormat="false" ht="12.75" hidden="false" customHeight="true" outlineLevel="0" collapsed="false">
      <c r="U24" s="34"/>
      <c r="V24" s="34"/>
      <c r="W24" s="34"/>
      <c r="X24" s="34"/>
    </row>
    <row r="25" customFormat="false" ht="12.75" hidden="false" customHeight="true" outlineLevel="0" collapsed="false">
      <c r="U25" s="34"/>
      <c r="V25" s="34"/>
      <c r="W25" s="34"/>
      <c r="X25" s="34"/>
    </row>
    <row r="26" customFormat="false" ht="12.75" hidden="false" customHeight="true" outlineLevel="0" collapsed="false">
      <c r="U26" s="34"/>
      <c r="V26" s="34"/>
      <c r="W26" s="34"/>
      <c r="X26" s="34"/>
    </row>
    <row r="27" customFormat="false" ht="12.75" hidden="false" customHeight="true" outlineLevel="0" collapsed="false">
      <c r="U27" s="34"/>
      <c r="V27" s="34"/>
      <c r="W27" s="34"/>
      <c r="X27" s="34"/>
    </row>
    <row r="28" customFormat="false" ht="12.75" hidden="false" customHeight="true" outlineLevel="0" collapsed="false">
      <c r="U28" s="34"/>
      <c r="V28" s="34"/>
      <c r="W28" s="34"/>
      <c r="X28" s="34"/>
    </row>
    <row r="29" customFormat="false" ht="12.75" hidden="false" customHeight="true" outlineLevel="0" collapsed="false">
      <c r="U29" s="34"/>
      <c r="V29" s="34"/>
      <c r="W29" s="34"/>
      <c r="X29" s="34"/>
    </row>
    <row r="30" customFormat="false" ht="12.75" hidden="false" customHeight="true" outlineLevel="0" collapsed="false">
      <c r="U30" s="34"/>
      <c r="V30" s="34"/>
      <c r="W30" s="34"/>
      <c r="X30" s="34"/>
    </row>
    <row r="31" customFormat="false" ht="12.75" hidden="false" customHeight="true" outlineLevel="0" collapsed="false">
      <c r="U31" s="34"/>
      <c r="V31" s="34"/>
      <c r="W31" s="34"/>
      <c r="X31" s="34"/>
    </row>
    <row r="32" customFormat="false" ht="12.75" hidden="false" customHeight="true" outlineLevel="0" collapsed="false">
      <c r="U32" s="34"/>
      <c r="V32" s="34"/>
      <c r="W32" s="34"/>
      <c r="X32" s="34"/>
    </row>
    <row r="33" customFormat="false" ht="12.75" hidden="false" customHeight="true" outlineLevel="0" collapsed="false">
      <c r="U33" s="34"/>
      <c r="V33" s="34"/>
      <c r="W33" s="34"/>
      <c r="X33" s="34"/>
    </row>
    <row r="34" customFormat="false" ht="12.75" hidden="false" customHeight="true" outlineLevel="0" collapsed="false">
      <c r="U34" s="34"/>
      <c r="V34" s="34"/>
      <c r="W34" s="34"/>
      <c r="X34" s="34"/>
    </row>
    <row r="35" customFormat="false" ht="12.75" hidden="false" customHeight="true" outlineLevel="0" collapsed="false">
      <c r="U35" s="34"/>
      <c r="V35" s="34"/>
      <c r="W35" s="34"/>
      <c r="X35" s="34"/>
    </row>
    <row r="36" customFormat="false" ht="12.75" hidden="false" customHeight="true" outlineLevel="0" collapsed="false">
      <c r="U36" s="34"/>
      <c r="V36" s="34"/>
      <c r="W36" s="34"/>
      <c r="X36" s="34"/>
    </row>
    <row r="37" customFormat="false" ht="12.75" hidden="false" customHeight="true" outlineLevel="0" collapsed="false">
      <c r="A37" s="3"/>
      <c r="U37" s="34"/>
      <c r="V37" s="34"/>
      <c r="W37" s="34"/>
      <c r="X37" s="34"/>
    </row>
    <row r="38" customFormat="false" ht="12.75" hidden="false" customHeight="true" outlineLevel="0" collapsed="false">
      <c r="U38" s="34"/>
      <c r="V38" s="34"/>
      <c r="W38" s="34"/>
      <c r="X38" s="34"/>
    </row>
    <row r="39" customFormat="false" ht="12.75" hidden="false" customHeight="true" outlineLevel="0" collapsed="false">
      <c r="U39" s="34"/>
      <c r="V39" s="34"/>
      <c r="W39" s="34"/>
      <c r="X39" s="34"/>
    </row>
    <row r="40" customFormat="false" ht="12.75" hidden="false" customHeight="true" outlineLevel="0" collapsed="false">
      <c r="U40" s="34"/>
      <c r="V40" s="34"/>
      <c r="W40" s="34"/>
      <c r="X40" s="34"/>
    </row>
    <row r="41" customFormat="false" ht="12.75" hidden="false" customHeight="true" outlineLevel="0" collapsed="false">
      <c r="U41" s="34"/>
      <c r="V41" s="34"/>
      <c r="W41" s="34"/>
      <c r="X41" s="34"/>
    </row>
    <row r="42" customFormat="false" ht="12.75" hidden="false" customHeight="true" outlineLevel="0" collapsed="false">
      <c r="U42" s="34"/>
      <c r="V42" s="34"/>
      <c r="W42" s="34"/>
      <c r="X42" s="34"/>
    </row>
    <row r="43" customFormat="false" ht="12.75" hidden="false" customHeight="true" outlineLevel="0" collapsed="false">
      <c r="U43" s="34"/>
      <c r="V43" s="34"/>
      <c r="W43" s="34"/>
      <c r="X43" s="34"/>
    </row>
    <row r="44" customFormat="false" ht="12.75" hidden="false" customHeight="true" outlineLevel="0" collapsed="false">
      <c r="U44" s="34"/>
      <c r="V44" s="34"/>
      <c r="W44" s="34"/>
      <c r="X44" s="34"/>
    </row>
    <row r="45" customFormat="false" ht="12.75" hidden="false" customHeight="true" outlineLevel="0" collapsed="false">
      <c r="U45" s="34"/>
      <c r="V45" s="34"/>
      <c r="W45" s="34"/>
      <c r="X45" s="34"/>
    </row>
    <row r="46" customFormat="false" ht="12.75" hidden="false" customHeight="true" outlineLevel="0" collapsed="false">
      <c r="U46" s="34"/>
      <c r="V46" s="34"/>
      <c r="W46" s="34"/>
      <c r="X46" s="34"/>
    </row>
    <row r="47" customFormat="false" ht="12.75" hidden="false" customHeight="true" outlineLevel="0" collapsed="false">
      <c r="U47" s="34"/>
      <c r="V47" s="34"/>
      <c r="W47" s="34"/>
      <c r="X47" s="34"/>
    </row>
    <row r="48" customFormat="false" ht="12.75" hidden="false" customHeight="true" outlineLevel="0" collapsed="false">
      <c r="U48" s="34"/>
      <c r="V48" s="34"/>
      <c r="W48" s="34"/>
      <c r="X48" s="34"/>
    </row>
    <row r="49" customFormat="false" ht="12.75" hidden="false" customHeight="true" outlineLevel="0" collapsed="false">
      <c r="U49" s="34"/>
      <c r="V49" s="34"/>
      <c r="W49" s="34"/>
      <c r="X49" s="34"/>
    </row>
    <row r="50" customFormat="false" ht="12.75" hidden="false" customHeight="true" outlineLevel="0" collapsed="false">
      <c r="U50" s="34"/>
      <c r="V50" s="34"/>
      <c r="W50" s="34"/>
      <c r="X50" s="34"/>
    </row>
    <row r="51" customFormat="false" ht="12.75" hidden="false" customHeight="true" outlineLevel="0" collapsed="false">
      <c r="U51" s="34"/>
      <c r="V51" s="34"/>
      <c r="W51" s="34"/>
      <c r="X51" s="34"/>
    </row>
    <row r="52" customFormat="false" ht="12.75" hidden="false" customHeight="true" outlineLevel="0" collapsed="false">
      <c r="U52" s="34"/>
      <c r="V52" s="34"/>
      <c r="W52" s="34"/>
      <c r="X52" s="34"/>
    </row>
    <row r="53" customFormat="false" ht="12.75" hidden="false" customHeight="true" outlineLevel="0" collapsed="false">
      <c r="U53" s="34"/>
      <c r="V53" s="34"/>
      <c r="W53" s="34"/>
      <c r="X53" s="34"/>
    </row>
    <row r="54" customFormat="false" ht="12.75" hidden="false" customHeight="true" outlineLevel="0" collapsed="false">
      <c r="U54" s="34"/>
      <c r="V54" s="34"/>
      <c r="W54" s="34"/>
      <c r="X54" s="34"/>
    </row>
    <row r="55" customFormat="false" ht="12.75" hidden="false" customHeight="true" outlineLevel="0" collapsed="false">
      <c r="U55" s="34"/>
      <c r="V55" s="34"/>
      <c r="W55" s="34"/>
      <c r="X55" s="34"/>
    </row>
    <row r="56" customFormat="false" ht="12.75" hidden="false" customHeight="true" outlineLevel="0" collapsed="false">
      <c r="U56" s="34"/>
      <c r="V56" s="34"/>
      <c r="W56" s="34"/>
      <c r="X56" s="34"/>
    </row>
    <row r="57" customFormat="false" ht="12.75" hidden="false" customHeight="true" outlineLevel="0" collapsed="false">
      <c r="U57" s="34"/>
      <c r="V57" s="34"/>
      <c r="W57" s="34"/>
      <c r="X57" s="34"/>
    </row>
    <row r="58" customFormat="false" ht="12.75" hidden="false" customHeight="true" outlineLevel="0" collapsed="false">
      <c r="U58" s="34"/>
      <c r="V58" s="34"/>
      <c r="W58" s="34"/>
      <c r="X58" s="34"/>
    </row>
    <row r="59" customFormat="false" ht="12.75" hidden="false" customHeight="true" outlineLevel="0" collapsed="false">
      <c r="U59" s="34"/>
      <c r="V59" s="34"/>
      <c r="W59" s="34"/>
      <c r="X59" s="34"/>
    </row>
    <row r="60" customFormat="false" ht="12.75" hidden="false" customHeight="true" outlineLevel="0" collapsed="false">
      <c r="U60" s="34"/>
      <c r="V60" s="34"/>
      <c r="W60" s="34"/>
      <c r="X60" s="34"/>
    </row>
    <row r="61" customFormat="false" ht="12.75" hidden="false" customHeight="true" outlineLevel="0" collapsed="false">
      <c r="U61" s="34"/>
      <c r="V61" s="34"/>
      <c r="W61" s="34"/>
      <c r="X61" s="34"/>
    </row>
    <row r="62" customFormat="false" ht="12.75" hidden="false" customHeight="true" outlineLevel="0" collapsed="false">
      <c r="U62" s="34"/>
      <c r="V62" s="34"/>
      <c r="W62" s="34"/>
      <c r="X62" s="34"/>
    </row>
    <row r="63" customFormat="false" ht="12.75" hidden="false" customHeight="true" outlineLevel="0" collapsed="false">
      <c r="U63" s="34"/>
      <c r="V63" s="34"/>
      <c r="W63" s="34"/>
      <c r="X63" s="34"/>
    </row>
    <row r="64" customFormat="false" ht="12.75" hidden="false" customHeight="true" outlineLevel="0" collapsed="false">
      <c r="U64" s="34"/>
      <c r="V64" s="34"/>
      <c r="W64" s="34"/>
      <c r="X64" s="34"/>
    </row>
    <row r="65" customFormat="false" ht="12.75" hidden="false" customHeight="true" outlineLevel="0" collapsed="false">
      <c r="U65" s="34"/>
      <c r="V65" s="34"/>
      <c r="W65" s="34"/>
      <c r="X65" s="34"/>
    </row>
    <row r="66" customFormat="false" ht="12.75" hidden="false" customHeight="true" outlineLevel="0" collapsed="false">
      <c r="U66" s="34"/>
      <c r="V66" s="34"/>
      <c r="W66" s="34"/>
      <c r="X66" s="34"/>
    </row>
    <row r="67" customFormat="false" ht="12.75" hidden="false" customHeight="true" outlineLevel="0" collapsed="false">
      <c r="U67" s="34"/>
      <c r="V67" s="34"/>
      <c r="W67" s="34"/>
      <c r="X67" s="34"/>
    </row>
    <row r="68" customFormat="false" ht="12.75" hidden="false" customHeight="true" outlineLevel="0" collapsed="false">
      <c r="U68" s="34"/>
      <c r="V68" s="34"/>
      <c r="W68" s="34"/>
      <c r="X68" s="34"/>
    </row>
    <row r="69" customFormat="false" ht="12.75" hidden="false" customHeight="true" outlineLevel="0" collapsed="false">
      <c r="U69" s="34"/>
      <c r="V69" s="34"/>
      <c r="W69" s="34"/>
      <c r="X69" s="34"/>
    </row>
    <row r="70" customFormat="false" ht="12.75" hidden="false" customHeight="true" outlineLevel="0" collapsed="false">
      <c r="U70" s="34"/>
      <c r="V70" s="34"/>
      <c r="W70" s="34"/>
      <c r="X70" s="34"/>
    </row>
    <row r="71" customFormat="false" ht="12.75" hidden="false" customHeight="true" outlineLevel="0" collapsed="false">
      <c r="U71" s="34"/>
      <c r="V71" s="34"/>
      <c r="W71" s="34"/>
      <c r="X71" s="34"/>
    </row>
    <row r="72" customFormat="false" ht="12.75" hidden="false" customHeight="true" outlineLevel="0" collapsed="false">
      <c r="U72" s="34"/>
      <c r="V72" s="34"/>
      <c r="W72" s="34"/>
      <c r="X72" s="34"/>
    </row>
    <row r="73" customFormat="false" ht="12.75" hidden="false" customHeight="true" outlineLevel="0" collapsed="false">
      <c r="U73" s="34"/>
      <c r="V73" s="34"/>
      <c r="W73" s="34"/>
      <c r="X73" s="34"/>
    </row>
    <row r="74" customFormat="false" ht="12.75" hidden="false" customHeight="true" outlineLevel="0" collapsed="false">
      <c r="U74" s="34"/>
      <c r="V74" s="34"/>
      <c r="W74" s="34"/>
      <c r="X74" s="34"/>
    </row>
    <row r="75" customFormat="false" ht="12.75" hidden="false" customHeight="true" outlineLevel="0" collapsed="false">
      <c r="U75" s="34"/>
      <c r="V75" s="34"/>
      <c r="W75" s="34"/>
      <c r="X75" s="34"/>
    </row>
    <row r="76" customFormat="false" ht="12.75" hidden="false" customHeight="true" outlineLevel="0" collapsed="false">
      <c r="U76" s="34"/>
      <c r="V76" s="34"/>
      <c r="W76" s="34"/>
      <c r="X76" s="34"/>
    </row>
    <row r="77" customFormat="false" ht="12.75" hidden="false" customHeight="true" outlineLevel="0" collapsed="false">
      <c r="U77" s="34"/>
      <c r="V77" s="34"/>
      <c r="W77" s="34"/>
      <c r="X77" s="34"/>
    </row>
    <row r="78" customFormat="false" ht="12.75" hidden="false" customHeight="true" outlineLevel="0" collapsed="false">
      <c r="U78" s="34"/>
      <c r="V78" s="34"/>
      <c r="W78" s="34"/>
      <c r="X78" s="34"/>
    </row>
    <row r="79" customFormat="false" ht="12.75" hidden="false" customHeight="true" outlineLevel="0" collapsed="false">
      <c r="U79" s="34"/>
      <c r="V79" s="34"/>
      <c r="W79" s="34"/>
      <c r="X79" s="34"/>
    </row>
    <row r="80" customFormat="false" ht="12.75" hidden="false" customHeight="true" outlineLevel="0" collapsed="false">
      <c r="U80" s="34"/>
      <c r="V80" s="34"/>
      <c r="W80" s="34"/>
      <c r="X80" s="34"/>
    </row>
    <row r="81" customFormat="false" ht="12.75" hidden="false" customHeight="true" outlineLevel="0" collapsed="false">
      <c r="U81" s="34"/>
      <c r="V81" s="34"/>
      <c r="W81" s="34"/>
      <c r="X81" s="34"/>
    </row>
    <row r="82" customFormat="false" ht="12.75" hidden="false" customHeight="true" outlineLevel="0" collapsed="false">
      <c r="U82" s="34"/>
      <c r="V82" s="34"/>
      <c r="W82" s="34"/>
      <c r="X82" s="34"/>
    </row>
    <row r="83" customFormat="false" ht="12.75" hidden="false" customHeight="true" outlineLevel="0" collapsed="false">
      <c r="U83" s="34"/>
      <c r="V83" s="34"/>
      <c r="W83" s="34"/>
      <c r="X83" s="34"/>
    </row>
    <row r="84" customFormat="false" ht="12.75" hidden="false" customHeight="true" outlineLevel="0" collapsed="false">
      <c r="U84" s="34"/>
      <c r="V84" s="34"/>
      <c r="W84" s="34"/>
      <c r="X84" s="34"/>
    </row>
    <row r="85" customFormat="false" ht="12.75" hidden="false" customHeight="true" outlineLevel="0" collapsed="false">
      <c r="U85" s="34"/>
      <c r="V85" s="34"/>
      <c r="W85" s="34"/>
      <c r="X85" s="34"/>
    </row>
    <row r="86" customFormat="false" ht="12.75" hidden="false" customHeight="true" outlineLevel="0" collapsed="false">
      <c r="U86" s="34"/>
      <c r="V86" s="34"/>
      <c r="W86" s="34"/>
      <c r="X86" s="34"/>
    </row>
    <row r="87" customFormat="false" ht="12.75" hidden="false" customHeight="true" outlineLevel="0" collapsed="false">
      <c r="U87" s="34"/>
      <c r="V87" s="34"/>
      <c r="W87" s="34"/>
      <c r="X87" s="34"/>
    </row>
    <row r="88" customFormat="false" ht="12.75" hidden="false" customHeight="true" outlineLevel="0" collapsed="false">
      <c r="U88" s="34"/>
      <c r="V88" s="34"/>
      <c r="W88" s="34"/>
      <c r="X88" s="34"/>
    </row>
    <row r="89" customFormat="false" ht="12.75" hidden="false" customHeight="true" outlineLevel="0" collapsed="false">
      <c r="U89" s="34"/>
      <c r="V89" s="34"/>
      <c r="W89" s="34"/>
      <c r="X89" s="34"/>
    </row>
    <row r="90" customFormat="false" ht="12.75" hidden="false" customHeight="true" outlineLevel="0" collapsed="false">
      <c r="U90" s="34"/>
      <c r="V90" s="34"/>
      <c r="W90" s="34"/>
      <c r="X90" s="34"/>
    </row>
    <row r="91" customFormat="false" ht="12.75" hidden="false" customHeight="true" outlineLevel="0" collapsed="false">
      <c r="U91" s="34"/>
      <c r="V91" s="34"/>
      <c r="W91" s="34"/>
      <c r="X91" s="34"/>
    </row>
    <row r="92" customFormat="false" ht="12.75" hidden="false" customHeight="true" outlineLevel="0" collapsed="false">
      <c r="U92" s="34"/>
      <c r="V92" s="34"/>
      <c r="W92" s="34"/>
      <c r="X92" s="34"/>
    </row>
    <row r="93" customFormat="false" ht="12.75" hidden="false" customHeight="true" outlineLevel="0" collapsed="false">
      <c r="U93" s="34"/>
      <c r="V93" s="34"/>
      <c r="W93" s="34"/>
      <c r="X93" s="34"/>
    </row>
    <row r="94" customFormat="false" ht="12.75" hidden="false" customHeight="true" outlineLevel="0" collapsed="false">
      <c r="U94" s="34"/>
      <c r="V94" s="34"/>
      <c r="W94" s="34"/>
      <c r="X94" s="34"/>
    </row>
    <row r="95" customFormat="false" ht="12.75" hidden="false" customHeight="true" outlineLevel="0" collapsed="false">
      <c r="U95" s="34"/>
      <c r="V95" s="34"/>
      <c r="W95" s="34"/>
      <c r="X95" s="34"/>
    </row>
    <row r="96" customFormat="false" ht="12.75" hidden="false" customHeight="true" outlineLevel="0" collapsed="false">
      <c r="U96" s="34"/>
      <c r="V96" s="34"/>
      <c r="W96" s="34"/>
      <c r="X96" s="34"/>
    </row>
    <row r="97" customFormat="false" ht="12.75" hidden="false" customHeight="true" outlineLevel="0" collapsed="false">
      <c r="U97" s="34"/>
      <c r="V97" s="34"/>
      <c r="W97" s="34"/>
      <c r="X97" s="34"/>
    </row>
    <row r="98" customFormat="false" ht="12.75" hidden="false" customHeight="true" outlineLevel="0" collapsed="false">
      <c r="U98" s="34"/>
      <c r="V98" s="34"/>
      <c r="W98" s="34"/>
      <c r="X98" s="34"/>
    </row>
    <row r="99" customFormat="false" ht="12.75" hidden="false" customHeight="true" outlineLevel="0" collapsed="false">
      <c r="U99" s="34"/>
      <c r="V99" s="34"/>
      <c r="W99" s="34"/>
      <c r="X99" s="34"/>
    </row>
    <row r="100" customFormat="false" ht="12.75" hidden="false" customHeight="true" outlineLevel="0" collapsed="false">
      <c r="U100" s="34"/>
      <c r="V100" s="34"/>
      <c r="W100" s="34"/>
      <c r="X100" s="34"/>
    </row>
    <row r="101" customFormat="false" ht="12.75" hidden="false" customHeight="true" outlineLevel="0" collapsed="false">
      <c r="U101" s="34"/>
      <c r="V101" s="34"/>
      <c r="W101" s="34"/>
      <c r="X101" s="34"/>
    </row>
    <row r="102" customFormat="false" ht="12.75" hidden="false" customHeight="true" outlineLevel="0" collapsed="false">
      <c r="U102" s="34"/>
      <c r="V102" s="34"/>
      <c r="W102" s="34"/>
      <c r="X102" s="34"/>
    </row>
    <row r="103" customFormat="false" ht="12.75" hidden="false" customHeight="true" outlineLevel="0" collapsed="false">
      <c r="U103" s="34"/>
      <c r="V103" s="34"/>
      <c r="W103" s="34"/>
      <c r="X103" s="34"/>
    </row>
    <row r="104" customFormat="false" ht="12.75" hidden="false" customHeight="true" outlineLevel="0" collapsed="false">
      <c r="U104" s="34"/>
      <c r="V104" s="34"/>
      <c r="W104" s="34"/>
      <c r="X104" s="34"/>
    </row>
    <row r="105" customFormat="false" ht="12.75" hidden="false" customHeight="true" outlineLevel="0" collapsed="false">
      <c r="U105" s="34"/>
      <c r="V105" s="34"/>
      <c r="W105" s="34"/>
      <c r="X105" s="34"/>
    </row>
    <row r="106" customFormat="false" ht="12.75" hidden="false" customHeight="true" outlineLevel="0" collapsed="false">
      <c r="U106" s="34"/>
      <c r="V106" s="34"/>
      <c r="W106" s="34"/>
      <c r="X106" s="34"/>
    </row>
    <row r="107" customFormat="false" ht="12.75" hidden="false" customHeight="true" outlineLevel="0" collapsed="false">
      <c r="U107" s="34"/>
      <c r="V107" s="34"/>
      <c r="W107" s="34"/>
      <c r="X107" s="34"/>
    </row>
    <row r="108" customFormat="false" ht="12.75" hidden="false" customHeight="true" outlineLevel="0" collapsed="false">
      <c r="U108" s="34"/>
      <c r="V108" s="34"/>
      <c r="W108" s="34"/>
      <c r="X108" s="34"/>
    </row>
    <row r="109" customFormat="false" ht="12.75" hidden="false" customHeight="true" outlineLevel="0" collapsed="false">
      <c r="U109" s="34"/>
      <c r="V109" s="34"/>
      <c r="W109" s="34"/>
      <c r="X109" s="34"/>
    </row>
    <row r="110" customFormat="false" ht="12.75" hidden="false" customHeight="true" outlineLevel="0" collapsed="false">
      <c r="U110" s="34"/>
      <c r="V110" s="34"/>
      <c r="W110" s="34"/>
      <c r="X110" s="34"/>
    </row>
    <row r="111" customFormat="false" ht="12.75" hidden="false" customHeight="true" outlineLevel="0" collapsed="false">
      <c r="U111" s="34"/>
      <c r="V111" s="34"/>
      <c r="W111" s="34"/>
      <c r="X111" s="34"/>
    </row>
    <row r="112" customFormat="false" ht="12.75" hidden="false" customHeight="true" outlineLevel="0" collapsed="false">
      <c r="U112" s="34"/>
      <c r="V112" s="34"/>
      <c r="W112" s="34"/>
      <c r="X112" s="34"/>
    </row>
    <row r="113" customFormat="false" ht="12.75" hidden="false" customHeight="true" outlineLevel="0" collapsed="false">
      <c r="U113" s="34"/>
      <c r="V113" s="34"/>
      <c r="W113" s="34"/>
      <c r="X113" s="34"/>
    </row>
    <row r="114" customFormat="false" ht="12.75" hidden="false" customHeight="true" outlineLevel="0" collapsed="false">
      <c r="U114" s="34"/>
      <c r="V114" s="34"/>
      <c r="W114" s="34"/>
      <c r="X114" s="34"/>
    </row>
    <row r="115" customFormat="false" ht="12.75" hidden="false" customHeight="true" outlineLevel="0" collapsed="false">
      <c r="U115" s="34"/>
      <c r="V115" s="34"/>
      <c r="W115" s="34"/>
      <c r="X115" s="34"/>
    </row>
    <row r="116" customFormat="false" ht="12.75" hidden="false" customHeight="true" outlineLevel="0" collapsed="false">
      <c r="U116" s="34"/>
      <c r="V116" s="34"/>
      <c r="W116" s="34"/>
      <c r="X116" s="34"/>
    </row>
    <row r="117" customFormat="false" ht="12.75" hidden="false" customHeight="true" outlineLevel="0" collapsed="false">
      <c r="U117" s="34"/>
      <c r="V117" s="34"/>
      <c r="W117" s="34"/>
      <c r="X117" s="34"/>
    </row>
    <row r="118" customFormat="false" ht="12.75" hidden="false" customHeight="true" outlineLevel="0" collapsed="false">
      <c r="U118" s="34"/>
      <c r="V118" s="34"/>
      <c r="W118" s="34"/>
      <c r="X118" s="34"/>
    </row>
    <row r="119" customFormat="false" ht="12.75" hidden="false" customHeight="true" outlineLevel="0" collapsed="false">
      <c r="U119" s="34"/>
      <c r="V119" s="34"/>
      <c r="W119" s="34"/>
      <c r="X119" s="34"/>
    </row>
    <row r="120" customFormat="false" ht="12.75" hidden="false" customHeight="true" outlineLevel="0" collapsed="false">
      <c r="U120" s="34"/>
      <c r="V120" s="34"/>
      <c r="W120" s="34"/>
      <c r="X120" s="34"/>
    </row>
    <row r="121" customFormat="false" ht="12.75" hidden="false" customHeight="true" outlineLevel="0" collapsed="false">
      <c r="U121" s="34"/>
      <c r="V121" s="34"/>
      <c r="W121" s="34"/>
      <c r="X121" s="34"/>
    </row>
    <row r="122" customFormat="false" ht="12.75" hidden="false" customHeight="true" outlineLevel="0" collapsed="false">
      <c r="U122" s="34"/>
      <c r="V122" s="34"/>
      <c r="W122" s="34"/>
      <c r="X122" s="34"/>
    </row>
    <row r="123" customFormat="false" ht="12.75" hidden="false" customHeight="true" outlineLevel="0" collapsed="false">
      <c r="U123" s="34"/>
      <c r="V123" s="34"/>
      <c r="W123" s="34"/>
      <c r="X123" s="34"/>
    </row>
    <row r="124" customFormat="false" ht="12.75" hidden="false" customHeight="true" outlineLevel="0" collapsed="false">
      <c r="U124" s="34"/>
      <c r="V124" s="34"/>
      <c r="W124" s="34"/>
      <c r="X124" s="34"/>
    </row>
    <row r="125" customFormat="false" ht="12.75" hidden="false" customHeight="true" outlineLevel="0" collapsed="false">
      <c r="U125" s="34"/>
      <c r="V125" s="34"/>
      <c r="W125" s="34"/>
      <c r="X125" s="34"/>
    </row>
    <row r="126" customFormat="false" ht="12.75" hidden="false" customHeight="true" outlineLevel="0" collapsed="false">
      <c r="U126" s="34"/>
      <c r="V126" s="34"/>
      <c r="W126" s="34"/>
      <c r="X126" s="34"/>
    </row>
    <row r="127" customFormat="false" ht="12.75" hidden="false" customHeight="true" outlineLevel="0" collapsed="false">
      <c r="U127" s="34"/>
      <c r="V127" s="34"/>
      <c r="W127" s="34"/>
      <c r="X127" s="34"/>
    </row>
    <row r="128" customFormat="false" ht="12.75" hidden="false" customHeight="true" outlineLevel="0" collapsed="false">
      <c r="U128" s="34"/>
      <c r="V128" s="34"/>
      <c r="W128" s="34"/>
      <c r="X128" s="34"/>
    </row>
    <row r="129" customFormat="false" ht="12.75" hidden="false" customHeight="true" outlineLevel="0" collapsed="false">
      <c r="U129" s="34"/>
      <c r="V129" s="34"/>
      <c r="W129" s="34"/>
      <c r="X129" s="34"/>
    </row>
    <row r="130" customFormat="false" ht="12.75" hidden="false" customHeight="true" outlineLevel="0" collapsed="false">
      <c r="U130" s="34"/>
      <c r="V130" s="34"/>
      <c r="W130" s="34"/>
      <c r="X130" s="34"/>
    </row>
    <row r="131" customFormat="false" ht="12.75" hidden="false" customHeight="true" outlineLevel="0" collapsed="false">
      <c r="U131" s="34"/>
      <c r="V131" s="34"/>
      <c r="W131" s="34"/>
      <c r="X131" s="34"/>
    </row>
    <row r="132" customFormat="false" ht="12.75" hidden="false" customHeight="true" outlineLevel="0" collapsed="false">
      <c r="U132" s="34"/>
      <c r="V132" s="34"/>
      <c r="W132" s="34"/>
      <c r="X132" s="34"/>
    </row>
    <row r="133" customFormat="false" ht="12.75" hidden="false" customHeight="true" outlineLevel="0" collapsed="false">
      <c r="U133" s="34"/>
      <c r="V133" s="34"/>
      <c r="W133" s="34"/>
      <c r="X133" s="34"/>
    </row>
    <row r="134" customFormat="false" ht="12.75" hidden="false" customHeight="true" outlineLevel="0" collapsed="false">
      <c r="U134" s="34"/>
      <c r="V134" s="34"/>
      <c r="W134" s="34"/>
      <c r="X134" s="34"/>
    </row>
    <row r="135" customFormat="false" ht="12.75" hidden="false" customHeight="true" outlineLevel="0" collapsed="false">
      <c r="U135" s="34"/>
      <c r="V135" s="34"/>
      <c r="W135" s="34"/>
      <c r="X135" s="34"/>
    </row>
    <row r="136" customFormat="false" ht="12.75" hidden="false" customHeight="true" outlineLevel="0" collapsed="false">
      <c r="U136" s="34"/>
      <c r="V136" s="34"/>
      <c r="W136" s="34"/>
      <c r="X136" s="34"/>
    </row>
    <row r="137" customFormat="false" ht="12.75" hidden="false" customHeight="true" outlineLevel="0" collapsed="false">
      <c r="U137" s="34"/>
      <c r="V137" s="34"/>
      <c r="W137" s="34"/>
      <c r="X137" s="34"/>
    </row>
    <row r="138" customFormat="false" ht="12.75" hidden="false" customHeight="true" outlineLevel="0" collapsed="false">
      <c r="U138" s="34"/>
      <c r="V138" s="34"/>
      <c r="W138" s="34"/>
      <c r="X138" s="34"/>
    </row>
    <row r="139" customFormat="false" ht="12.75" hidden="false" customHeight="true" outlineLevel="0" collapsed="false">
      <c r="U139" s="34"/>
      <c r="V139" s="34"/>
      <c r="W139" s="34"/>
      <c r="X139" s="34"/>
    </row>
    <row r="140" customFormat="false" ht="12.75" hidden="false" customHeight="true" outlineLevel="0" collapsed="false">
      <c r="U140" s="34"/>
      <c r="V140" s="34"/>
      <c r="W140" s="34"/>
      <c r="X140" s="34"/>
    </row>
    <row r="141" customFormat="false" ht="12.75" hidden="false" customHeight="true" outlineLevel="0" collapsed="false">
      <c r="U141" s="34"/>
      <c r="V141" s="34"/>
      <c r="W141" s="34"/>
      <c r="X141" s="34"/>
    </row>
    <row r="142" customFormat="false" ht="12.75" hidden="false" customHeight="true" outlineLevel="0" collapsed="false">
      <c r="U142" s="34"/>
      <c r="V142" s="34"/>
      <c r="W142" s="34"/>
      <c r="X142" s="34"/>
    </row>
    <row r="143" customFormat="false" ht="12.75" hidden="false" customHeight="true" outlineLevel="0" collapsed="false">
      <c r="U143" s="34"/>
      <c r="V143" s="34"/>
      <c r="W143" s="34"/>
      <c r="X143" s="34"/>
    </row>
    <row r="144" customFormat="false" ht="12.75" hidden="false" customHeight="true" outlineLevel="0" collapsed="false">
      <c r="U144" s="34"/>
      <c r="V144" s="34"/>
      <c r="W144" s="34"/>
      <c r="X144" s="34"/>
    </row>
    <row r="145" customFormat="false" ht="12.75" hidden="false" customHeight="true" outlineLevel="0" collapsed="false">
      <c r="U145" s="34"/>
      <c r="V145" s="34"/>
      <c r="W145" s="34"/>
      <c r="X145" s="34"/>
    </row>
    <row r="146" customFormat="false" ht="12.75" hidden="false" customHeight="true" outlineLevel="0" collapsed="false">
      <c r="U146" s="34"/>
      <c r="V146" s="34"/>
      <c r="W146" s="34"/>
      <c r="X146" s="34"/>
    </row>
    <row r="147" customFormat="false" ht="12.75" hidden="false" customHeight="true" outlineLevel="0" collapsed="false">
      <c r="U147" s="34"/>
      <c r="V147" s="34"/>
      <c r="W147" s="34"/>
      <c r="X147" s="34"/>
    </row>
    <row r="148" customFormat="false" ht="12.75" hidden="false" customHeight="true" outlineLevel="0" collapsed="false">
      <c r="U148" s="34"/>
      <c r="V148" s="34"/>
      <c r="W148" s="34"/>
      <c r="X148" s="34"/>
    </row>
    <row r="149" customFormat="false" ht="12.75" hidden="false" customHeight="true" outlineLevel="0" collapsed="false">
      <c r="U149" s="34"/>
      <c r="V149" s="34"/>
      <c r="W149" s="34"/>
      <c r="X149" s="34"/>
    </row>
    <row r="150" customFormat="false" ht="12.75" hidden="false" customHeight="true" outlineLevel="0" collapsed="false">
      <c r="U150" s="34"/>
      <c r="V150" s="34"/>
      <c r="W150" s="34"/>
      <c r="X150" s="34"/>
    </row>
    <row r="151" customFormat="false" ht="12.75" hidden="false" customHeight="true" outlineLevel="0" collapsed="false">
      <c r="U151" s="34"/>
      <c r="V151" s="34"/>
      <c r="W151" s="34"/>
      <c r="X151" s="34"/>
    </row>
    <row r="152" customFormat="false" ht="12.75" hidden="false" customHeight="true" outlineLevel="0" collapsed="false">
      <c r="U152" s="34"/>
      <c r="V152" s="34"/>
      <c r="W152" s="34"/>
      <c r="X152" s="34"/>
    </row>
    <row r="153" customFormat="false" ht="12.75" hidden="false" customHeight="true" outlineLevel="0" collapsed="false">
      <c r="U153" s="34"/>
      <c r="V153" s="34"/>
      <c r="W153" s="34"/>
      <c r="X153" s="34"/>
    </row>
    <row r="154" customFormat="false" ht="12.75" hidden="false" customHeight="true" outlineLevel="0" collapsed="false">
      <c r="U154" s="34"/>
      <c r="V154" s="34"/>
      <c r="W154" s="34"/>
      <c r="X154" s="34"/>
    </row>
    <row r="155" customFormat="false" ht="12.75" hidden="false" customHeight="true" outlineLevel="0" collapsed="false">
      <c r="U155" s="34"/>
      <c r="V155" s="34"/>
      <c r="W155" s="34"/>
      <c r="X155" s="34"/>
    </row>
    <row r="156" customFormat="false" ht="12.75" hidden="false" customHeight="true" outlineLevel="0" collapsed="false">
      <c r="U156" s="34"/>
      <c r="V156" s="34"/>
      <c r="W156" s="34"/>
      <c r="X156" s="34"/>
    </row>
    <row r="157" customFormat="false" ht="12.75" hidden="false" customHeight="true" outlineLevel="0" collapsed="false">
      <c r="U157" s="34"/>
      <c r="V157" s="34"/>
      <c r="W157" s="34"/>
      <c r="X157" s="34"/>
    </row>
    <row r="158" customFormat="false" ht="12.75" hidden="false" customHeight="true" outlineLevel="0" collapsed="false">
      <c r="U158" s="34"/>
      <c r="V158" s="34"/>
      <c r="W158" s="34"/>
      <c r="X158" s="34"/>
    </row>
    <row r="159" customFormat="false" ht="12.75" hidden="false" customHeight="true" outlineLevel="0" collapsed="false">
      <c r="U159" s="34"/>
      <c r="V159" s="34"/>
      <c r="W159" s="34"/>
      <c r="X159" s="34"/>
    </row>
    <row r="160" customFormat="false" ht="12.75" hidden="false" customHeight="true" outlineLevel="0" collapsed="false">
      <c r="U160" s="34"/>
      <c r="V160" s="34"/>
      <c r="W160" s="34"/>
      <c r="X160" s="34"/>
    </row>
    <row r="161" customFormat="false" ht="12.75" hidden="false" customHeight="true" outlineLevel="0" collapsed="false">
      <c r="U161" s="34"/>
      <c r="V161" s="34"/>
      <c r="W161" s="34"/>
      <c r="X161" s="34"/>
    </row>
    <row r="162" customFormat="false" ht="12.75" hidden="false" customHeight="true" outlineLevel="0" collapsed="false">
      <c r="U162" s="34"/>
      <c r="V162" s="34"/>
      <c r="W162" s="34"/>
      <c r="X162" s="34"/>
    </row>
    <row r="163" customFormat="false" ht="12.75" hidden="false" customHeight="true" outlineLevel="0" collapsed="false">
      <c r="U163" s="34"/>
      <c r="V163" s="34"/>
      <c r="W163" s="34"/>
      <c r="X163" s="34"/>
    </row>
    <row r="164" customFormat="false" ht="12.75" hidden="false" customHeight="true" outlineLevel="0" collapsed="false">
      <c r="U164" s="34"/>
      <c r="V164" s="34"/>
      <c r="W164" s="34"/>
      <c r="X164" s="34"/>
    </row>
    <row r="165" customFormat="false" ht="12.75" hidden="false" customHeight="true" outlineLevel="0" collapsed="false">
      <c r="U165" s="34"/>
      <c r="V165" s="34"/>
      <c r="W165" s="34"/>
      <c r="X165" s="34"/>
    </row>
    <row r="166" customFormat="false" ht="12.75" hidden="false" customHeight="true" outlineLevel="0" collapsed="false">
      <c r="U166" s="34"/>
      <c r="V166" s="34"/>
      <c r="W166" s="34"/>
      <c r="X166" s="34"/>
    </row>
    <row r="167" customFormat="false" ht="12.75" hidden="false" customHeight="true" outlineLevel="0" collapsed="false">
      <c r="U167" s="34"/>
      <c r="V167" s="34"/>
      <c r="W167" s="34"/>
      <c r="X167" s="34"/>
    </row>
    <row r="168" customFormat="false" ht="12.75" hidden="false" customHeight="true" outlineLevel="0" collapsed="false">
      <c r="U168" s="34"/>
      <c r="V168" s="34"/>
      <c r="W168" s="34"/>
      <c r="X168" s="34"/>
    </row>
    <row r="169" customFormat="false" ht="12.75" hidden="false" customHeight="true" outlineLevel="0" collapsed="false">
      <c r="U169" s="34"/>
      <c r="V169" s="34"/>
      <c r="W169" s="34"/>
      <c r="X169" s="34"/>
    </row>
    <row r="170" customFormat="false" ht="12.75" hidden="false" customHeight="true" outlineLevel="0" collapsed="false">
      <c r="U170" s="34"/>
      <c r="V170" s="34"/>
      <c r="W170" s="34"/>
      <c r="X170" s="34"/>
    </row>
    <row r="171" customFormat="false" ht="12.75" hidden="false" customHeight="true" outlineLevel="0" collapsed="false">
      <c r="U171" s="34"/>
      <c r="V171" s="34"/>
      <c r="W171" s="34"/>
      <c r="X171" s="34"/>
    </row>
    <row r="172" customFormat="false" ht="12.75" hidden="false" customHeight="true" outlineLevel="0" collapsed="false">
      <c r="U172" s="34"/>
      <c r="V172" s="34"/>
      <c r="W172" s="34"/>
      <c r="X172" s="34"/>
    </row>
    <row r="173" customFormat="false" ht="12.75" hidden="false" customHeight="true" outlineLevel="0" collapsed="false">
      <c r="U173" s="34"/>
      <c r="V173" s="34"/>
      <c r="W173" s="34"/>
      <c r="X173" s="34"/>
    </row>
    <row r="174" customFormat="false" ht="12.75" hidden="false" customHeight="true" outlineLevel="0" collapsed="false">
      <c r="U174" s="34"/>
      <c r="V174" s="34"/>
      <c r="W174" s="34"/>
      <c r="X174" s="34"/>
    </row>
    <row r="175" customFormat="false" ht="12.75" hidden="false" customHeight="true" outlineLevel="0" collapsed="false">
      <c r="U175" s="34"/>
      <c r="V175" s="34"/>
      <c r="W175" s="34"/>
      <c r="X175" s="34"/>
    </row>
    <row r="176" customFormat="false" ht="12.75" hidden="false" customHeight="true" outlineLevel="0" collapsed="false">
      <c r="U176" s="34"/>
      <c r="V176" s="34"/>
      <c r="W176" s="34"/>
      <c r="X176" s="34"/>
    </row>
    <row r="177" customFormat="false" ht="12.75" hidden="false" customHeight="true" outlineLevel="0" collapsed="false">
      <c r="U177" s="34"/>
      <c r="V177" s="34"/>
      <c r="W177" s="34"/>
      <c r="X177" s="34"/>
    </row>
    <row r="178" customFormat="false" ht="12.75" hidden="false" customHeight="true" outlineLevel="0" collapsed="false">
      <c r="U178" s="34"/>
      <c r="V178" s="34"/>
      <c r="W178" s="34"/>
      <c r="X178" s="34"/>
    </row>
    <row r="179" customFormat="false" ht="12.75" hidden="false" customHeight="true" outlineLevel="0" collapsed="false">
      <c r="U179" s="34"/>
      <c r="V179" s="34"/>
      <c r="W179" s="34"/>
      <c r="X179" s="34"/>
    </row>
    <row r="180" customFormat="false" ht="12.75" hidden="false" customHeight="true" outlineLevel="0" collapsed="false">
      <c r="U180" s="34"/>
      <c r="V180" s="34"/>
      <c r="W180" s="34"/>
      <c r="X180" s="34"/>
    </row>
    <row r="181" customFormat="false" ht="12.75" hidden="false" customHeight="true" outlineLevel="0" collapsed="false">
      <c r="U181" s="34"/>
      <c r="V181" s="34"/>
      <c r="W181" s="34"/>
      <c r="X181" s="34"/>
    </row>
    <row r="182" customFormat="false" ht="12.75" hidden="false" customHeight="true" outlineLevel="0" collapsed="false">
      <c r="U182" s="34"/>
      <c r="V182" s="34"/>
      <c r="W182" s="34"/>
      <c r="X182" s="34"/>
    </row>
    <row r="183" customFormat="false" ht="12.75" hidden="false" customHeight="true" outlineLevel="0" collapsed="false">
      <c r="U183" s="34"/>
      <c r="V183" s="34"/>
      <c r="W183" s="34"/>
      <c r="X183" s="34"/>
    </row>
    <row r="184" customFormat="false" ht="12.75" hidden="false" customHeight="true" outlineLevel="0" collapsed="false">
      <c r="U184" s="34"/>
      <c r="V184" s="34"/>
      <c r="W184" s="34"/>
      <c r="X184" s="34"/>
    </row>
    <row r="185" customFormat="false" ht="12.75" hidden="false" customHeight="true" outlineLevel="0" collapsed="false">
      <c r="U185" s="34"/>
      <c r="V185" s="34"/>
      <c r="W185" s="34"/>
      <c r="X185" s="34"/>
    </row>
    <row r="186" customFormat="false" ht="12.75" hidden="false" customHeight="true" outlineLevel="0" collapsed="false">
      <c r="U186" s="34"/>
      <c r="V186" s="34"/>
      <c r="W186" s="34"/>
      <c r="X186" s="34"/>
    </row>
    <row r="187" customFormat="false" ht="12.75" hidden="false" customHeight="true" outlineLevel="0" collapsed="false">
      <c r="U187" s="34"/>
      <c r="V187" s="34"/>
      <c r="W187" s="34"/>
      <c r="X187" s="34"/>
    </row>
    <row r="188" customFormat="false" ht="12.75" hidden="false" customHeight="true" outlineLevel="0" collapsed="false">
      <c r="U188" s="34"/>
      <c r="V188" s="34"/>
      <c r="W188" s="34"/>
      <c r="X188" s="34"/>
    </row>
    <row r="189" customFormat="false" ht="12.75" hidden="false" customHeight="true" outlineLevel="0" collapsed="false">
      <c r="U189" s="34"/>
      <c r="V189" s="34"/>
      <c r="W189" s="34"/>
      <c r="X189" s="34"/>
    </row>
    <row r="190" customFormat="false" ht="12.75" hidden="false" customHeight="true" outlineLevel="0" collapsed="false">
      <c r="U190" s="34"/>
      <c r="V190" s="34"/>
      <c r="W190" s="34"/>
      <c r="X190" s="34"/>
    </row>
    <row r="191" customFormat="false" ht="12.75" hidden="false" customHeight="true" outlineLevel="0" collapsed="false">
      <c r="U191" s="34"/>
      <c r="V191" s="34"/>
      <c r="W191" s="34"/>
      <c r="X191" s="34"/>
    </row>
    <row r="192" customFormat="false" ht="12.75" hidden="false" customHeight="true" outlineLevel="0" collapsed="false">
      <c r="U192" s="34"/>
      <c r="V192" s="34"/>
      <c r="W192" s="34"/>
      <c r="X192" s="34"/>
    </row>
    <row r="193" customFormat="false" ht="12.75" hidden="false" customHeight="true" outlineLevel="0" collapsed="false">
      <c r="U193" s="34"/>
      <c r="V193" s="34"/>
      <c r="W193" s="34"/>
      <c r="X193" s="34"/>
    </row>
    <row r="194" customFormat="false" ht="12.75" hidden="false" customHeight="true" outlineLevel="0" collapsed="false">
      <c r="U194" s="34"/>
      <c r="V194" s="34"/>
      <c r="W194" s="34"/>
      <c r="X194" s="34"/>
    </row>
    <row r="195" customFormat="false" ht="12.75" hidden="false" customHeight="true" outlineLevel="0" collapsed="false">
      <c r="U195" s="34"/>
      <c r="V195" s="34"/>
      <c r="W195" s="34"/>
      <c r="X195" s="34"/>
    </row>
    <row r="196" customFormat="false" ht="12.75" hidden="false" customHeight="true" outlineLevel="0" collapsed="false">
      <c r="U196" s="34"/>
      <c r="V196" s="34"/>
      <c r="W196" s="34"/>
      <c r="X196" s="34"/>
    </row>
    <row r="197" customFormat="false" ht="12.75" hidden="false" customHeight="true" outlineLevel="0" collapsed="false">
      <c r="U197" s="34"/>
      <c r="V197" s="34"/>
      <c r="W197" s="34"/>
      <c r="X197" s="34"/>
    </row>
    <row r="198" customFormat="false" ht="12.75" hidden="false" customHeight="true" outlineLevel="0" collapsed="false">
      <c r="U198" s="34"/>
      <c r="V198" s="34"/>
      <c r="W198" s="34"/>
      <c r="X198" s="34"/>
    </row>
    <row r="199" customFormat="false" ht="12.75" hidden="false" customHeight="true" outlineLevel="0" collapsed="false">
      <c r="U199" s="34"/>
      <c r="V199" s="34"/>
      <c r="W199" s="34"/>
      <c r="X199" s="34"/>
    </row>
    <row r="200" customFormat="false" ht="12.75" hidden="false" customHeight="true" outlineLevel="0" collapsed="false">
      <c r="U200" s="34"/>
      <c r="V200" s="34"/>
      <c r="W200" s="34"/>
      <c r="X200" s="34"/>
    </row>
    <row r="201" customFormat="false" ht="12.75" hidden="false" customHeight="true" outlineLevel="0" collapsed="false">
      <c r="U201" s="34"/>
      <c r="V201" s="34"/>
      <c r="W201" s="34"/>
      <c r="X201" s="34"/>
    </row>
    <row r="202" customFormat="false" ht="12.75" hidden="false" customHeight="true" outlineLevel="0" collapsed="false">
      <c r="U202" s="34"/>
      <c r="V202" s="34"/>
      <c r="W202" s="34"/>
      <c r="X202" s="34"/>
    </row>
    <row r="203" customFormat="false" ht="12.75" hidden="false" customHeight="true" outlineLevel="0" collapsed="false">
      <c r="U203" s="34"/>
      <c r="V203" s="34"/>
      <c r="W203" s="34"/>
      <c r="X203" s="34"/>
    </row>
    <row r="204" customFormat="false" ht="12.75" hidden="false" customHeight="true" outlineLevel="0" collapsed="false">
      <c r="U204" s="34"/>
      <c r="V204" s="34"/>
      <c r="W204" s="34"/>
      <c r="X204" s="34"/>
    </row>
    <row r="205" customFormat="false" ht="12.75" hidden="false" customHeight="true" outlineLevel="0" collapsed="false">
      <c r="U205" s="34"/>
      <c r="V205" s="34"/>
      <c r="W205" s="34"/>
      <c r="X205" s="34"/>
    </row>
    <row r="206" customFormat="false" ht="12.75" hidden="false" customHeight="true" outlineLevel="0" collapsed="false">
      <c r="U206" s="34"/>
      <c r="V206" s="34"/>
      <c r="W206" s="34"/>
      <c r="X206" s="34"/>
    </row>
    <row r="207" customFormat="false" ht="12.75" hidden="false" customHeight="true" outlineLevel="0" collapsed="false">
      <c r="U207" s="34"/>
      <c r="V207" s="34"/>
      <c r="W207" s="34"/>
      <c r="X207" s="34"/>
    </row>
    <row r="208" customFormat="false" ht="12.75" hidden="false" customHeight="true" outlineLevel="0" collapsed="false">
      <c r="U208" s="34"/>
      <c r="V208" s="34"/>
      <c r="W208" s="34"/>
      <c r="X208" s="34"/>
    </row>
    <row r="209" customFormat="false" ht="12.75" hidden="false" customHeight="true" outlineLevel="0" collapsed="false">
      <c r="U209" s="34"/>
      <c r="V209" s="34"/>
      <c r="W209" s="34"/>
      <c r="X209" s="34"/>
    </row>
    <row r="210" customFormat="false" ht="12.75" hidden="false" customHeight="true" outlineLevel="0" collapsed="false">
      <c r="U210" s="34"/>
      <c r="V210" s="34"/>
      <c r="W210" s="34"/>
      <c r="X210" s="34"/>
    </row>
    <row r="211" customFormat="false" ht="12.75" hidden="false" customHeight="true" outlineLevel="0" collapsed="false">
      <c r="U211" s="34"/>
      <c r="V211" s="34"/>
      <c r="W211" s="34"/>
      <c r="X211" s="34"/>
    </row>
    <row r="212" customFormat="false" ht="12.75" hidden="false" customHeight="true" outlineLevel="0" collapsed="false">
      <c r="U212" s="34"/>
      <c r="V212" s="34"/>
      <c r="W212" s="34"/>
      <c r="X212" s="34"/>
    </row>
    <row r="213" customFormat="false" ht="12.75" hidden="false" customHeight="true" outlineLevel="0" collapsed="false">
      <c r="U213" s="34"/>
      <c r="V213" s="34"/>
      <c r="W213" s="34"/>
      <c r="X213" s="34"/>
    </row>
    <row r="214" customFormat="false" ht="12.75" hidden="false" customHeight="true" outlineLevel="0" collapsed="false">
      <c r="U214" s="34"/>
      <c r="V214" s="34"/>
      <c r="W214" s="34"/>
      <c r="X214" s="34"/>
    </row>
    <row r="215" customFormat="false" ht="12.75" hidden="false" customHeight="true" outlineLevel="0" collapsed="false">
      <c r="U215" s="34"/>
      <c r="V215" s="34"/>
      <c r="W215" s="34"/>
      <c r="X215" s="34"/>
    </row>
    <row r="216" customFormat="false" ht="12.75" hidden="false" customHeight="true" outlineLevel="0" collapsed="false">
      <c r="U216" s="34"/>
      <c r="V216" s="34"/>
      <c r="W216" s="34"/>
      <c r="X216" s="34"/>
    </row>
    <row r="217" customFormat="false" ht="12.75" hidden="false" customHeight="true" outlineLevel="0" collapsed="false">
      <c r="U217" s="34"/>
      <c r="V217" s="34"/>
      <c r="W217" s="34"/>
      <c r="X217" s="34"/>
    </row>
    <row r="218" customFormat="false" ht="12.75" hidden="false" customHeight="true" outlineLevel="0" collapsed="false">
      <c r="U218" s="34"/>
      <c r="V218" s="34"/>
      <c r="W218" s="34"/>
      <c r="X218" s="34"/>
    </row>
    <row r="219" customFormat="false" ht="12.75" hidden="false" customHeight="true" outlineLevel="0" collapsed="false">
      <c r="U219" s="34"/>
      <c r="V219" s="34"/>
      <c r="W219" s="34"/>
      <c r="X219" s="34"/>
    </row>
    <row r="220" customFormat="false" ht="12.75" hidden="false" customHeight="true" outlineLevel="0" collapsed="false">
      <c r="U220" s="34"/>
      <c r="V220" s="34"/>
      <c r="W220" s="34"/>
      <c r="X220" s="34"/>
    </row>
    <row r="221" customFormat="false" ht="12.75" hidden="false" customHeight="true" outlineLevel="0" collapsed="false">
      <c r="U221" s="34"/>
      <c r="V221" s="34"/>
      <c r="W221" s="34"/>
      <c r="X221" s="34"/>
    </row>
    <row r="222" customFormat="false" ht="12.75" hidden="false" customHeight="true" outlineLevel="0" collapsed="false">
      <c r="U222" s="34"/>
      <c r="V222" s="34"/>
      <c r="W222" s="34"/>
      <c r="X222" s="34"/>
    </row>
    <row r="223" customFormat="false" ht="12.75" hidden="false" customHeight="true" outlineLevel="0" collapsed="false">
      <c r="U223" s="34"/>
      <c r="V223" s="34"/>
      <c r="W223" s="34"/>
      <c r="X223" s="34"/>
    </row>
    <row r="224" customFormat="false" ht="12.75" hidden="false" customHeight="true" outlineLevel="0" collapsed="false">
      <c r="U224" s="34"/>
      <c r="V224" s="34"/>
      <c r="W224" s="34"/>
      <c r="X224" s="34"/>
    </row>
    <row r="225" customFormat="false" ht="12.75" hidden="false" customHeight="true" outlineLevel="0" collapsed="false">
      <c r="U225" s="34"/>
      <c r="V225" s="34"/>
      <c r="W225" s="34"/>
      <c r="X225" s="34"/>
    </row>
    <row r="226" customFormat="false" ht="12.75" hidden="false" customHeight="true" outlineLevel="0" collapsed="false">
      <c r="U226" s="34"/>
      <c r="V226" s="34"/>
      <c r="W226" s="34"/>
      <c r="X226" s="34"/>
    </row>
    <row r="227" customFormat="false" ht="12.75" hidden="false" customHeight="true" outlineLevel="0" collapsed="false">
      <c r="U227" s="34"/>
      <c r="V227" s="34"/>
      <c r="W227" s="34"/>
      <c r="X227" s="34"/>
    </row>
    <row r="228" customFormat="false" ht="15.75" hidden="false" customHeight="true" outlineLevel="0" collapsed="false">
      <c r="U228" s="34"/>
      <c r="V228" s="34"/>
      <c r="W228" s="34"/>
      <c r="X228" s="34"/>
    </row>
    <row r="229" customFormat="false" ht="15.75" hidden="false" customHeight="true" outlineLevel="0" collapsed="false">
      <c r="U229" s="34"/>
      <c r="V229" s="34"/>
      <c r="W229" s="34"/>
      <c r="X229" s="34"/>
    </row>
    <row r="230" customFormat="false" ht="15.75" hidden="false" customHeight="true" outlineLevel="0" collapsed="false">
      <c r="U230" s="34"/>
      <c r="V230" s="34"/>
      <c r="W230" s="34"/>
      <c r="X230" s="34"/>
    </row>
    <row r="231" customFormat="false" ht="15.75" hidden="false" customHeight="true" outlineLevel="0" collapsed="false">
      <c r="U231" s="34"/>
      <c r="V231" s="34"/>
      <c r="W231" s="34"/>
      <c r="X231" s="34"/>
    </row>
    <row r="232" customFormat="false" ht="15.75" hidden="false" customHeight="true" outlineLevel="0" collapsed="false">
      <c r="U232" s="34"/>
      <c r="V232" s="34"/>
      <c r="W232" s="34"/>
      <c r="X232" s="34"/>
    </row>
    <row r="233" customFormat="false" ht="15.75" hidden="false" customHeight="true" outlineLevel="0" collapsed="false">
      <c r="U233" s="34"/>
      <c r="V233" s="34"/>
      <c r="W233" s="34"/>
      <c r="X233" s="34"/>
    </row>
    <row r="234" customFormat="false" ht="15.75" hidden="false" customHeight="true" outlineLevel="0" collapsed="false">
      <c r="U234" s="34"/>
      <c r="V234" s="34"/>
      <c r="W234" s="34"/>
      <c r="X234" s="34"/>
    </row>
    <row r="235" customFormat="false" ht="15.75" hidden="false" customHeight="true" outlineLevel="0" collapsed="false">
      <c r="U235" s="34"/>
      <c r="V235" s="34"/>
      <c r="W235" s="34"/>
      <c r="X235" s="34"/>
    </row>
    <row r="236" customFormat="false" ht="15.75" hidden="false" customHeight="true" outlineLevel="0" collapsed="false">
      <c r="U236" s="34"/>
      <c r="V236" s="34"/>
      <c r="W236" s="34"/>
      <c r="X236" s="34"/>
    </row>
    <row r="237" customFormat="false" ht="15.75" hidden="false" customHeight="true" outlineLevel="0" collapsed="false">
      <c r="U237" s="34"/>
      <c r="V237" s="34"/>
      <c r="W237" s="34"/>
      <c r="X237" s="34"/>
    </row>
    <row r="238" customFormat="false" ht="15.75" hidden="false" customHeight="true" outlineLevel="0" collapsed="false">
      <c r="U238" s="34"/>
      <c r="V238" s="34"/>
      <c r="W238" s="34"/>
      <c r="X238" s="34"/>
    </row>
    <row r="239" customFormat="false" ht="15.75" hidden="false" customHeight="true" outlineLevel="0" collapsed="false">
      <c r="U239" s="34"/>
      <c r="V239" s="34"/>
      <c r="W239" s="34"/>
      <c r="X239" s="34"/>
    </row>
    <row r="240" customFormat="false" ht="15.75" hidden="false" customHeight="true" outlineLevel="0" collapsed="false">
      <c r="U240" s="34"/>
      <c r="V240" s="34"/>
      <c r="W240" s="34"/>
      <c r="X240" s="34"/>
    </row>
    <row r="241" customFormat="false" ht="15.75" hidden="false" customHeight="true" outlineLevel="0" collapsed="false">
      <c r="U241" s="34"/>
      <c r="V241" s="34"/>
      <c r="W241" s="34"/>
      <c r="X241" s="34"/>
    </row>
    <row r="242" customFormat="false" ht="15.75" hidden="false" customHeight="true" outlineLevel="0" collapsed="false">
      <c r="U242" s="34"/>
      <c r="V242" s="34"/>
      <c r="W242" s="34"/>
      <c r="X242" s="34"/>
    </row>
    <row r="243" customFormat="false" ht="15.75" hidden="false" customHeight="true" outlineLevel="0" collapsed="false">
      <c r="U243" s="34"/>
      <c r="V243" s="34"/>
      <c r="W243" s="34"/>
      <c r="X243" s="34"/>
    </row>
    <row r="244" customFormat="false" ht="15.75" hidden="false" customHeight="true" outlineLevel="0" collapsed="false">
      <c r="U244" s="34"/>
      <c r="V244" s="34"/>
      <c r="W244" s="34"/>
      <c r="X244" s="34"/>
    </row>
    <row r="245" customFormat="false" ht="15.75" hidden="false" customHeight="true" outlineLevel="0" collapsed="false">
      <c r="U245" s="34"/>
      <c r="V245" s="34"/>
      <c r="W245" s="34"/>
      <c r="X245" s="34"/>
    </row>
    <row r="246" customFormat="false" ht="15.75" hidden="false" customHeight="true" outlineLevel="0" collapsed="false">
      <c r="U246" s="34"/>
      <c r="V246" s="34"/>
      <c r="W246" s="34"/>
      <c r="X246" s="34"/>
    </row>
    <row r="247" customFormat="false" ht="15.75" hidden="false" customHeight="true" outlineLevel="0" collapsed="false">
      <c r="U247" s="34"/>
      <c r="V247" s="34"/>
      <c r="W247" s="34"/>
      <c r="X247" s="34"/>
    </row>
    <row r="248" customFormat="false" ht="15.75" hidden="false" customHeight="true" outlineLevel="0" collapsed="false">
      <c r="U248" s="34"/>
      <c r="V248" s="34"/>
      <c r="W248" s="34"/>
      <c r="X248" s="34"/>
    </row>
    <row r="249" customFormat="false" ht="15.75" hidden="false" customHeight="true" outlineLevel="0" collapsed="false">
      <c r="U249" s="34"/>
      <c r="V249" s="34"/>
      <c r="W249" s="34"/>
      <c r="X249" s="34"/>
    </row>
    <row r="250" customFormat="false" ht="15.75" hidden="false" customHeight="true" outlineLevel="0" collapsed="false">
      <c r="U250" s="34"/>
      <c r="V250" s="34"/>
      <c r="W250" s="34"/>
      <c r="X250" s="34"/>
    </row>
    <row r="251" customFormat="false" ht="15.75" hidden="false" customHeight="true" outlineLevel="0" collapsed="false">
      <c r="U251" s="34"/>
      <c r="V251" s="34"/>
      <c r="W251" s="34"/>
      <c r="X251" s="34"/>
    </row>
    <row r="252" customFormat="false" ht="15.75" hidden="false" customHeight="true" outlineLevel="0" collapsed="false">
      <c r="U252" s="34"/>
      <c r="V252" s="34"/>
      <c r="W252" s="34"/>
      <c r="X252" s="34"/>
    </row>
    <row r="253" customFormat="false" ht="15.75" hidden="false" customHeight="true" outlineLevel="0" collapsed="false">
      <c r="U253" s="34"/>
      <c r="V253" s="34"/>
      <c r="W253" s="34"/>
      <c r="X253" s="34"/>
    </row>
    <row r="254" customFormat="false" ht="15.75" hidden="false" customHeight="true" outlineLevel="0" collapsed="false">
      <c r="U254" s="34"/>
      <c r="V254" s="34"/>
      <c r="W254" s="34"/>
      <c r="X254" s="34"/>
    </row>
    <row r="255" customFormat="false" ht="15.75" hidden="false" customHeight="true" outlineLevel="0" collapsed="false">
      <c r="U255" s="34"/>
      <c r="V255" s="34"/>
      <c r="W255" s="34"/>
      <c r="X255" s="34"/>
    </row>
    <row r="256" customFormat="false" ht="15.75" hidden="false" customHeight="true" outlineLevel="0" collapsed="false">
      <c r="U256" s="34"/>
      <c r="V256" s="34"/>
      <c r="W256" s="34"/>
      <c r="X256" s="34"/>
    </row>
    <row r="257" customFormat="false" ht="15.75" hidden="false" customHeight="true" outlineLevel="0" collapsed="false">
      <c r="U257" s="34"/>
      <c r="V257" s="34"/>
      <c r="W257" s="34"/>
      <c r="X257" s="34"/>
    </row>
    <row r="258" customFormat="false" ht="15.75" hidden="false" customHeight="true" outlineLevel="0" collapsed="false">
      <c r="U258" s="34"/>
      <c r="V258" s="34"/>
      <c r="W258" s="34"/>
      <c r="X258" s="34"/>
    </row>
    <row r="259" customFormat="false" ht="15.75" hidden="false" customHeight="true" outlineLevel="0" collapsed="false">
      <c r="U259" s="34"/>
      <c r="V259" s="34"/>
      <c r="W259" s="34"/>
      <c r="X259" s="34"/>
    </row>
    <row r="260" customFormat="false" ht="15.75" hidden="false" customHeight="true" outlineLevel="0" collapsed="false">
      <c r="U260" s="34"/>
      <c r="V260" s="34"/>
      <c r="W260" s="34"/>
      <c r="X260" s="34"/>
    </row>
    <row r="261" customFormat="false" ht="15.75" hidden="false" customHeight="true" outlineLevel="0" collapsed="false">
      <c r="U261" s="34"/>
      <c r="V261" s="34"/>
      <c r="W261" s="34"/>
      <c r="X261" s="34"/>
    </row>
    <row r="262" customFormat="false" ht="15.75" hidden="false" customHeight="true" outlineLevel="0" collapsed="false">
      <c r="U262" s="34"/>
      <c r="V262" s="34"/>
      <c r="W262" s="34"/>
      <c r="X262" s="34"/>
    </row>
    <row r="263" customFormat="false" ht="15.75" hidden="false" customHeight="true" outlineLevel="0" collapsed="false">
      <c r="U263" s="34"/>
      <c r="V263" s="34"/>
      <c r="W263" s="34"/>
      <c r="X263" s="34"/>
    </row>
    <row r="264" customFormat="false" ht="15.75" hidden="false" customHeight="true" outlineLevel="0" collapsed="false">
      <c r="U264" s="34"/>
      <c r="V264" s="34"/>
      <c r="W264" s="34"/>
      <c r="X264" s="34"/>
    </row>
    <row r="265" customFormat="false" ht="15.75" hidden="false" customHeight="true" outlineLevel="0" collapsed="false">
      <c r="U265" s="34"/>
      <c r="V265" s="34"/>
      <c r="W265" s="34"/>
      <c r="X265" s="34"/>
    </row>
    <row r="266" customFormat="false" ht="15.75" hidden="false" customHeight="true" outlineLevel="0" collapsed="false">
      <c r="U266" s="34"/>
      <c r="V266" s="34"/>
      <c r="W266" s="34"/>
      <c r="X266" s="34"/>
    </row>
    <row r="267" customFormat="false" ht="15.75" hidden="false" customHeight="true" outlineLevel="0" collapsed="false">
      <c r="U267" s="34"/>
      <c r="V267" s="34"/>
      <c r="W267" s="34"/>
      <c r="X267" s="34"/>
    </row>
    <row r="268" customFormat="false" ht="15.75" hidden="false" customHeight="true" outlineLevel="0" collapsed="false">
      <c r="U268" s="34"/>
      <c r="V268" s="34"/>
      <c r="W268" s="34"/>
      <c r="X268" s="34"/>
    </row>
    <row r="269" customFormat="false" ht="15.75" hidden="false" customHeight="true" outlineLevel="0" collapsed="false">
      <c r="U269" s="34"/>
      <c r="V269" s="34"/>
      <c r="W269" s="34"/>
      <c r="X269" s="34"/>
    </row>
    <row r="270" customFormat="false" ht="15.75" hidden="false" customHeight="true" outlineLevel="0" collapsed="false">
      <c r="U270" s="34"/>
      <c r="V270" s="34"/>
      <c r="W270" s="34"/>
      <c r="X270" s="34"/>
    </row>
    <row r="271" customFormat="false" ht="15.75" hidden="false" customHeight="true" outlineLevel="0" collapsed="false">
      <c r="U271" s="34"/>
      <c r="V271" s="34"/>
      <c r="W271" s="34"/>
      <c r="X271" s="34"/>
    </row>
    <row r="272" customFormat="false" ht="15.75" hidden="false" customHeight="true" outlineLevel="0" collapsed="false">
      <c r="U272" s="34"/>
      <c r="V272" s="34"/>
      <c r="W272" s="34"/>
      <c r="X272" s="34"/>
    </row>
    <row r="273" customFormat="false" ht="15.75" hidden="false" customHeight="true" outlineLevel="0" collapsed="false">
      <c r="U273" s="34"/>
      <c r="V273" s="34"/>
      <c r="W273" s="34"/>
      <c r="X273" s="34"/>
    </row>
    <row r="274" customFormat="false" ht="15.75" hidden="false" customHeight="true" outlineLevel="0" collapsed="false">
      <c r="U274" s="34"/>
      <c r="V274" s="34"/>
      <c r="W274" s="34"/>
      <c r="X274" s="34"/>
    </row>
    <row r="275" customFormat="false" ht="15.75" hidden="false" customHeight="true" outlineLevel="0" collapsed="false">
      <c r="U275" s="34"/>
      <c r="V275" s="34"/>
      <c r="W275" s="34"/>
      <c r="X275" s="34"/>
    </row>
    <row r="276" customFormat="false" ht="15.75" hidden="false" customHeight="true" outlineLevel="0" collapsed="false">
      <c r="U276" s="34"/>
      <c r="V276" s="34"/>
      <c r="W276" s="34"/>
      <c r="X276" s="34"/>
    </row>
    <row r="277" customFormat="false" ht="15.75" hidden="false" customHeight="true" outlineLevel="0" collapsed="false">
      <c r="U277" s="34"/>
      <c r="V277" s="34"/>
      <c r="W277" s="34"/>
      <c r="X277" s="34"/>
    </row>
    <row r="278" customFormat="false" ht="15.75" hidden="false" customHeight="true" outlineLevel="0" collapsed="false">
      <c r="U278" s="34"/>
      <c r="V278" s="34"/>
      <c r="W278" s="34"/>
      <c r="X278" s="34"/>
    </row>
    <row r="279" customFormat="false" ht="15.75" hidden="false" customHeight="true" outlineLevel="0" collapsed="false">
      <c r="U279" s="34"/>
      <c r="V279" s="34"/>
      <c r="W279" s="34"/>
      <c r="X279" s="34"/>
    </row>
    <row r="280" customFormat="false" ht="15.75" hidden="false" customHeight="true" outlineLevel="0" collapsed="false">
      <c r="U280" s="34"/>
      <c r="V280" s="34"/>
      <c r="W280" s="34"/>
      <c r="X280" s="34"/>
    </row>
    <row r="281" customFormat="false" ht="15.75" hidden="false" customHeight="true" outlineLevel="0" collapsed="false">
      <c r="U281" s="34"/>
      <c r="V281" s="34"/>
      <c r="W281" s="34"/>
      <c r="X281" s="34"/>
    </row>
    <row r="282" customFormat="false" ht="15.75" hidden="false" customHeight="true" outlineLevel="0" collapsed="false">
      <c r="U282" s="34"/>
      <c r="V282" s="34"/>
      <c r="W282" s="34"/>
      <c r="X282" s="34"/>
    </row>
    <row r="283" customFormat="false" ht="15.75" hidden="false" customHeight="true" outlineLevel="0" collapsed="false">
      <c r="U283" s="34"/>
      <c r="V283" s="34"/>
      <c r="W283" s="34"/>
      <c r="X283" s="34"/>
    </row>
    <row r="284" customFormat="false" ht="15.75" hidden="false" customHeight="true" outlineLevel="0" collapsed="false">
      <c r="U284" s="34"/>
      <c r="V284" s="34"/>
      <c r="W284" s="34"/>
      <c r="X284" s="34"/>
    </row>
    <row r="285" customFormat="false" ht="15.75" hidden="false" customHeight="true" outlineLevel="0" collapsed="false">
      <c r="U285" s="34"/>
      <c r="V285" s="34"/>
      <c r="W285" s="34"/>
      <c r="X285" s="34"/>
    </row>
    <row r="286" customFormat="false" ht="15.75" hidden="false" customHeight="true" outlineLevel="0" collapsed="false">
      <c r="U286" s="34"/>
      <c r="V286" s="34"/>
      <c r="W286" s="34"/>
      <c r="X286" s="34"/>
    </row>
    <row r="287" customFormat="false" ht="15.75" hidden="false" customHeight="true" outlineLevel="0" collapsed="false">
      <c r="U287" s="34"/>
      <c r="V287" s="34"/>
      <c r="W287" s="34"/>
      <c r="X287" s="34"/>
    </row>
    <row r="288" customFormat="false" ht="15.75" hidden="false" customHeight="true" outlineLevel="0" collapsed="false">
      <c r="U288" s="34"/>
      <c r="V288" s="34"/>
      <c r="W288" s="34"/>
      <c r="X288" s="34"/>
    </row>
    <row r="289" customFormat="false" ht="15.75" hidden="false" customHeight="true" outlineLevel="0" collapsed="false">
      <c r="U289" s="34"/>
      <c r="V289" s="34"/>
      <c r="W289" s="34"/>
      <c r="X289" s="34"/>
    </row>
    <row r="290" customFormat="false" ht="15.75" hidden="false" customHeight="true" outlineLevel="0" collapsed="false">
      <c r="U290" s="34"/>
      <c r="V290" s="34"/>
      <c r="W290" s="34"/>
      <c r="X290" s="34"/>
    </row>
    <row r="291" customFormat="false" ht="15.75" hidden="false" customHeight="true" outlineLevel="0" collapsed="false">
      <c r="U291" s="34"/>
      <c r="V291" s="34"/>
      <c r="W291" s="34"/>
      <c r="X291" s="34"/>
    </row>
    <row r="292" customFormat="false" ht="15.75" hidden="false" customHeight="true" outlineLevel="0" collapsed="false">
      <c r="U292" s="34"/>
      <c r="V292" s="34"/>
      <c r="W292" s="34"/>
      <c r="X292" s="34"/>
    </row>
    <row r="293" customFormat="false" ht="15.75" hidden="false" customHeight="true" outlineLevel="0" collapsed="false">
      <c r="U293" s="34"/>
      <c r="V293" s="34"/>
      <c r="W293" s="34"/>
      <c r="X293" s="34"/>
    </row>
    <row r="294" customFormat="false" ht="15.75" hidden="false" customHeight="true" outlineLevel="0" collapsed="false">
      <c r="U294" s="34"/>
      <c r="V294" s="34"/>
      <c r="W294" s="34"/>
      <c r="X294" s="34"/>
    </row>
    <row r="295" customFormat="false" ht="15.75" hidden="false" customHeight="true" outlineLevel="0" collapsed="false">
      <c r="U295" s="34"/>
      <c r="V295" s="34"/>
      <c r="W295" s="34"/>
      <c r="X295" s="34"/>
    </row>
    <row r="296" customFormat="false" ht="15.75" hidden="false" customHeight="true" outlineLevel="0" collapsed="false">
      <c r="U296" s="34"/>
      <c r="V296" s="34"/>
      <c r="W296" s="34"/>
      <c r="X296" s="34"/>
    </row>
    <row r="297" customFormat="false" ht="15.75" hidden="false" customHeight="true" outlineLevel="0" collapsed="false">
      <c r="U297" s="34"/>
      <c r="V297" s="34"/>
      <c r="W297" s="34"/>
      <c r="X297" s="34"/>
    </row>
    <row r="298" customFormat="false" ht="15.75" hidden="false" customHeight="true" outlineLevel="0" collapsed="false">
      <c r="U298" s="34"/>
      <c r="V298" s="34"/>
      <c r="W298" s="34"/>
      <c r="X298" s="34"/>
    </row>
    <row r="299" customFormat="false" ht="15.75" hidden="false" customHeight="true" outlineLevel="0" collapsed="false">
      <c r="U299" s="34"/>
      <c r="V299" s="34"/>
      <c r="W299" s="34"/>
      <c r="X299" s="34"/>
    </row>
    <row r="300" customFormat="false" ht="15.75" hidden="false" customHeight="true" outlineLevel="0" collapsed="false">
      <c r="U300" s="34"/>
      <c r="V300" s="34"/>
      <c r="W300" s="34"/>
      <c r="X300" s="34"/>
    </row>
    <row r="301" customFormat="false" ht="15.75" hidden="false" customHeight="true" outlineLevel="0" collapsed="false">
      <c r="U301" s="34"/>
      <c r="V301" s="34"/>
      <c r="W301" s="34"/>
      <c r="X301" s="34"/>
    </row>
    <row r="302" customFormat="false" ht="15.75" hidden="false" customHeight="true" outlineLevel="0" collapsed="false">
      <c r="U302" s="34"/>
      <c r="V302" s="34"/>
      <c r="W302" s="34"/>
      <c r="X302" s="34"/>
    </row>
    <row r="303" customFormat="false" ht="15.75" hidden="false" customHeight="true" outlineLevel="0" collapsed="false">
      <c r="U303" s="34"/>
      <c r="V303" s="34"/>
      <c r="W303" s="34"/>
      <c r="X303" s="34"/>
    </row>
    <row r="304" customFormat="false" ht="15.75" hidden="false" customHeight="true" outlineLevel="0" collapsed="false">
      <c r="U304" s="34"/>
      <c r="V304" s="34"/>
      <c r="W304" s="34"/>
      <c r="X304" s="34"/>
    </row>
    <row r="305" customFormat="false" ht="15.75" hidden="false" customHeight="true" outlineLevel="0" collapsed="false">
      <c r="U305" s="34"/>
      <c r="V305" s="34"/>
      <c r="W305" s="34"/>
      <c r="X305" s="34"/>
    </row>
    <row r="306" customFormat="false" ht="15.75" hidden="false" customHeight="true" outlineLevel="0" collapsed="false">
      <c r="U306" s="34"/>
      <c r="V306" s="34"/>
      <c r="W306" s="34"/>
      <c r="X306" s="34"/>
    </row>
    <row r="307" customFormat="false" ht="15.75" hidden="false" customHeight="true" outlineLevel="0" collapsed="false">
      <c r="U307" s="34"/>
      <c r="V307" s="34"/>
      <c r="W307" s="34"/>
      <c r="X307" s="34"/>
    </row>
    <row r="308" customFormat="false" ht="15.75" hidden="false" customHeight="true" outlineLevel="0" collapsed="false">
      <c r="U308" s="34"/>
      <c r="V308" s="34"/>
      <c r="W308" s="34"/>
      <c r="X308" s="34"/>
    </row>
    <row r="309" customFormat="false" ht="15.75" hidden="false" customHeight="true" outlineLevel="0" collapsed="false">
      <c r="U309" s="34"/>
      <c r="V309" s="34"/>
      <c r="W309" s="34"/>
      <c r="X309" s="34"/>
    </row>
    <row r="310" customFormat="false" ht="15.75" hidden="false" customHeight="true" outlineLevel="0" collapsed="false">
      <c r="U310" s="34"/>
      <c r="V310" s="34"/>
      <c r="W310" s="34"/>
      <c r="X310" s="34"/>
    </row>
    <row r="311" customFormat="false" ht="15.75" hidden="false" customHeight="true" outlineLevel="0" collapsed="false">
      <c r="U311" s="34"/>
      <c r="V311" s="34"/>
      <c r="W311" s="34"/>
      <c r="X311" s="34"/>
    </row>
    <row r="312" customFormat="false" ht="15.75" hidden="false" customHeight="true" outlineLevel="0" collapsed="false">
      <c r="U312" s="34"/>
      <c r="V312" s="34"/>
      <c r="W312" s="34"/>
      <c r="X312" s="34"/>
    </row>
    <row r="313" customFormat="false" ht="15.75" hidden="false" customHeight="true" outlineLevel="0" collapsed="false">
      <c r="U313" s="34"/>
      <c r="V313" s="34"/>
      <c r="W313" s="34"/>
      <c r="X313" s="34"/>
    </row>
    <row r="314" customFormat="false" ht="15.75" hidden="false" customHeight="true" outlineLevel="0" collapsed="false">
      <c r="U314" s="34"/>
      <c r="V314" s="34"/>
      <c r="W314" s="34"/>
      <c r="X314" s="34"/>
    </row>
    <row r="315" customFormat="false" ht="15.75" hidden="false" customHeight="true" outlineLevel="0" collapsed="false">
      <c r="U315" s="34"/>
      <c r="V315" s="34"/>
      <c r="W315" s="34"/>
      <c r="X315" s="34"/>
    </row>
    <row r="316" customFormat="false" ht="15.75" hidden="false" customHeight="true" outlineLevel="0" collapsed="false">
      <c r="U316" s="34"/>
      <c r="V316" s="34"/>
      <c r="W316" s="34"/>
      <c r="X316" s="34"/>
    </row>
    <row r="317" customFormat="false" ht="15.75" hidden="false" customHeight="true" outlineLevel="0" collapsed="false">
      <c r="U317" s="34"/>
      <c r="V317" s="34"/>
      <c r="W317" s="34"/>
      <c r="X317" s="34"/>
    </row>
    <row r="318" customFormat="false" ht="15.75" hidden="false" customHeight="true" outlineLevel="0" collapsed="false">
      <c r="U318" s="34"/>
      <c r="V318" s="34"/>
      <c r="W318" s="34"/>
      <c r="X318" s="34"/>
    </row>
    <row r="319" customFormat="false" ht="15.75" hidden="false" customHeight="true" outlineLevel="0" collapsed="false">
      <c r="U319" s="34"/>
      <c r="V319" s="34"/>
      <c r="W319" s="34"/>
      <c r="X319" s="34"/>
    </row>
    <row r="320" customFormat="false" ht="15.75" hidden="false" customHeight="true" outlineLevel="0" collapsed="false">
      <c r="U320" s="34"/>
      <c r="V320" s="34"/>
      <c r="W320" s="34"/>
      <c r="X320" s="34"/>
    </row>
    <row r="321" customFormat="false" ht="15.75" hidden="false" customHeight="true" outlineLevel="0" collapsed="false">
      <c r="U321" s="34"/>
      <c r="V321" s="34"/>
      <c r="W321" s="34"/>
      <c r="X321" s="34"/>
    </row>
    <row r="322" customFormat="false" ht="15.75" hidden="false" customHeight="true" outlineLevel="0" collapsed="false">
      <c r="U322" s="34"/>
      <c r="V322" s="34"/>
      <c r="W322" s="34"/>
      <c r="X322" s="34"/>
    </row>
    <row r="323" customFormat="false" ht="15.75" hidden="false" customHeight="true" outlineLevel="0" collapsed="false">
      <c r="U323" s="34"/>
      <c r="V323" s="34"/>
      <c r="W323" s="34"/>
      <c r="X323" s="34"/>
    </row>
    <row r="324" customFormat="false" ht="15.75" hidden="false" customHeight="true" outlineLevel="0" collapsed="false">
      <c r="U324" s="34"/>
      <c r="V324" s="34"/>
      <c r="W324" s="34"/>
      <c r="X324" s="34"/>
    </row>
    <row r="325" customFormat="false" ht="15.75" hidden="false" customHeight="true" outlineLevel="0" collapsed="false">
      <c r="U325" s="34"/>
      <c r="V325" s="34"/>
      <c r="W325" s="34"/>
      <c r="X325" s="34"/>
    </row>
    <row r="326" customFormat="false" ht="15.75" hidden="false" customHeight="true" outlineLevel="0" collapsed="false">
      <c r="U326" s="34"/>
      <c r="V326" s="34"/>
      <c r="W326" s="34"/>
      <c r="X326" s="34"/>
    </row>
    <row r="327" customFormat="false" ht="15.75" hidden="false" customHeight="true" outlineLevel="0" collapsed="false">
      <c r="U327" s="34"/>
      <c r="V327" s="34"/>
      <c r="W327" s="34"/>
      <c r="X327" s="34"/>
    </row>
    <row r="328" customFormat="false" ht="15.75" hidden="false" customHeight="true" outlineLevel="0" collapsed="false">
      <c r="U328" s="34"/>
      <c r="V328" s="34"/>
      <c r="W328" s="34"/>
      <c r="X328" s="34"/>
    </row>
    <row r="329" customFormat="false" ht="15.75" hidden="false" customHeight="true" outlineLevel="0" collapsed="false">
      <c r="U329" s="34"/>
      <c r="V329" s="34"/>
      <c r="W329" s="34"/>
      <c r="X329" s="34"/>
    </row>
    <row r="330" customFormat="false" ht="15.75" hidden="false" customHeight="true" outlineLevel="0" collapsed="false">
      <c r="U330" s="34"/>
      <c r="V330" s="34"/>
      <c r="W330" s="34"/>
      <c r="X330" s="34"/>
    </row>
    <row r="331" customFormat="false" ht="15.75" hidden="false" customHeight="true" outlineLevel="0" collapsed="false">
      <c r="U331" s="34"/>
      <c r="V331" s="34"/>
      <c r="W331" s="34"/>
      <c r="X331" s="34"/>
    </row>
    <row r="332" customFormat="false" ht="15.75" hidden="false" customHeight="true" outlineLevel="0" collapsed="false">
      <c r="U332" s="34"/>
      <c r="V332" s="34"/>
      <c r="W332" s="34"/>
      <c r="X332" s="34"/>
    </row>
    <row r="333" customFormat="false" ht="15.75" hidden="false" customHeight="true" outlineLevel="0" collapsed="false">
      <c r="U333" s="34"/>
      <c r="V333" s="34"/>
      <c r="W333" s="34"/>
      <c r="X333" s="34"/>
    </row>
    <row r="334" customFormat="false" ht="15.75" hidden="false" customHeight="true" outlineLevel="0" collapsed="false">
      <c r="U334" s="34"/>
      <c r="V334" s="34"/>
      <c r="W334" s="34"/>
      <c r="X334" s="34"/>
    </row>
    <row r="335" customFormat="false" ht="15.75" hidden="false" customHeight="true" outlineLevel="0" collapsed="false">
      <c r="U335" s="34"/>
      <c r="V335" s="34"/>
      <c r="W335" s="34"/>
      <c r="X335" s="34"/>
    </row>
    <row r="336" customFormat="false" ht="15.75" hidden="false" customHeight="true" outlineLevel="0" collapsed="false">
      <c r="U336" s="34"/>
      <c r="V336" s="34"/>
      <c r="W336" s="34"/>
      <c r="X336" s="34"/>
    </row>
    <row r="337" customFormat="false" ht="15.75" hidden="false" customHeight="true" outlineLevel="0" collapsed="false">
      <c r="U337" s="34"/>
      <c r="V337" s="34"/>
      <c r="W337" s="34"/>
      <c r="X337" s="34"/>
    </row>
    <row r="338" customFormat="false" ht="15.75" hidden="false" customHeight="true" outlineLevel="0" collapsed="false">
      <c r="U338" s="34"/>
      <c r="V338" s="34"/>
      <c r="W338" s="34"/>
      <c r="X338" s="34"/>
    </row>
    <row r="339" customFormat="false" ht="15.75" hidden="false" customHeight="true" outlineLevel="0" collapsed="false">
      <c r="U339" s="34"/>
      <c r="V339" s="34"/>
      <c r="W339" s="34"/>
      <c r="X339" s="34"/>
    </row>
    <row r="340" customFormat="false" ht="15.75" hidden="false" customHeight="true" outlineLevel="0" collapsed="false">
      <c r="U340" s="34"/>
      <c r="V340" s="34"/>
      <c r="W340" s="34"/>
      <c r="X340" s="34"/>
    </row>
    <row r="341" customFormat="false" ht="15.75" hidden="false" customHeight="true" outlineLevel="0" collapsed="false">
      <c r="U341" s="34"/>
      <c r="V341" s="34"/>
      <c r="W341" s="34"/>
      <c r="X341" s="34"/>
    </row>
    <row r="342" customFormat="false" ht="15.75" hidden="false" customHeight="true" outlineLevel="0" collapsed="false">
      <c r="U342" s="34"/>
      <c r="V342" s="34"/>
      <c r="W342" s="34"/>
      <c r="X342" s="34"/>
    </row>
    <row r="343" customFormat="false" ht="15.75" hidden="false" customHeight="true" outlineLevel="0" collapsed="false">
      <c r="U343" s="34"/>
      <c r="V343" s="34"/>
      <c r="W343" s="34"/>
      <c r="X343" s="34"/>
    </row>
    <row r="344" customFormat="false" ht="15.75" hidden="false" customHeight="true" outlineLevel="0" collapsed="false">
      <c r="U344" s="34"/>
      <c r="V344" s="34"/>
      <c r="W344" s="34"/>
      <c r="X344" s="34"/>
    </row>
    <row r="345" customFormat="false" ht="15.75" hidden="false" customHeight="true" outlineLevel="0" collapsed="false">
      <c r="U345" s="34"/>
      <c r="V345" s="34"/>
      <c r="W345" s="34"/>
      <c r="X345" s="34"/>
    </row>
    <row r="346" customFormat="false" ht="15.75" hidden="false" customHeight="true" outlineLevel="0" collapsed="false">
      <c r="U346" s="34"/>
      <c r="V346" s="34"/>
      <c r="W346" s="34"/>
      <c r="X346" s="34"/>
    </row>
    <row r="347" customFormat="false" ht="15.75" hidden="false" customHeight="true" outlineLevel="0" collapsed="false">
      <c r="U347" s="34"/>
      <c r="V347" s="34"/>
      <c r="W347" s="34"/>
      <c r="X347" s="34"/>
    </row>
    <row r="348" customFormat="false" ht="15.75" hidden="false" customHeight="true" outlineLevel="0" collapsed="false">
      <c r="U348" s="34"/>
      <c r="V348" s="34"/>
      <c r="W348" s="34"/>
      <c r="X348" s="34"/>
    </row>
    <row r="349" customFormat="false" ht="15.75" hidden="false" customHeight="true" outlineLevel="0" collapsed="false">
      <c r="U349" s="34"/>
      <c r="V349" s="34"/>
      <c r="W349" s="34"/>
      <c r="X349" s="34"/>
    </row>
    <row r="350" customFormat="false" ht="15.75" hidden="false" customHeight="true" outlineLevel="0" collapsed="false">
      <c r="U350" s="34"/>
      <c r="V350" s="34"/>
      <c r="W350" s="34"/>
      <c r="X350" s="34"/>
    </row>
    <row r="351" customFormat="false" ht="15.75" hidden="false" customHeight="true" outlineLevel="0" collapsed="false">
      <c r="U351" s="34"/>
      <c r="V351" s="34"/>
      <c r="W351" s="34"/>
      <c r="X351" s="34"/>
    </row>
    <row r="352" customFormat="false" ht="15.75" hidden="false" customHeight="true" outlineLevel="0" collapsed="false">
      <c r="U352" s="34"/>
      <c r="V352" s="34"/>
      <c r="W352" s="34"/>
      <c r="X352" s="34"/>
    </row>
    <row r="353" customFormat="false" ht="15.75" hidden="false" customHeight="true" outlineLevel="0" collapsed="false">
      <c r="U353" s="34"/>
      <c r="V353" s="34"/>
      <c r="W353" s="34"/>
      <c r="X353" s="34"/>
    </row>
    <row r="354" customFormat="false" ht="15.75" hidden="false" customHeight="true" outlineLevel="0" collapsed="false">
      <c r="U354" s="34"/>
      <c r="V354" s="34"/>
      <c r="W354" s="34"/>
      <c r="X354" s="34"/>
    </row>
    <row r="355" customFormat="false" ht="15.75" hidden="false" customHeight="true" outlineLevel="0" collapsed="false">
      <c r="U355" s="34"/>
      <c r="V355" s="34"/>
      <c r="W355" s="34"/>
      <c r="X355" s="34"/>
    </row>
    <row r="356" customFormat="false" ht="15.75" hidden="false" customHeight="true" outlineLevel="0" collapsed="false">
      <c r="U356" s="34"/>
      <c r="V356" s="34"/>
      <c r="W356" s="34"/>
      <c r="X356" s="34"/>
    </row>
    <row r="357" customFormat="false" ht="15.75" hidden="false" customHeight="true" outlineLevel="0" collapsed="false">
      <c r="U357" s="34"/>
      <c r="V357" s="34"/>
      <c r="W357" s="34"/>
      <c r="X357" s="34"/>
    </row>
    <row r="358" customFormat="false" ht="15.75" hidden="false" customHeight="true" outlineLevel="0" collapsed="false">
      <c r="U358" s="34"/>
      <c r="V358" s="34"/>
      <c r="W358" s="34"/>
      <c r="X358" s="34"/>
    </row>
    <row r="359" customFormat="false" ht="15.75" hidden="false" customHeight="true" outlineLevel="0" collapsed="false">
      <c r="U359" s="34"/>
      <c r="V359" s="34"/>
      <c r="W359" s="34"/>
      <c r="X359" s="34"/>
    </row>
    <row r="360" customFormat="false" ht="15.75" hidden="false" customHeight="true" outlineLevel="0" collapsed="false">
      <c r="U360" s="34"/>
      <c r="V360" s="34"/>
      <c r="W360" s="34"/>
      <c r="X360" s="34"/>
    </row>
    <row r="361" customFormat="false" ht="15.75" hidden="false" customHeight="true" outlineLevel="0" collapsed="false">
      <c r="U361" s="34"/>
      <c r="V361" s="34"/>
      <c r="W361" s="34"/>
      <c r="X361" s="34"/>
    </row>
    <row r="362" customFormat="false" ht="15.75" hidden="false" customHeight="true" outlineLevel="0" collapsed="false">
      <c r="U362" s="34"/>
      <c r="V362" s="34"/>
      <c r="W362" s="34"/>
      <c r="X362" s="34"/>
    </row>
    <row r="363" customFormat="false" ht="15.75" hidden="false" customHeight="true" outlineLevel="0" collapsed="false">
      <c r="U363" s="34"/>
      <c r="V363" s="34"/>
      <c r="W363" s="34"/>
      <c r="X363" s="34"/>
    </row>
    <row r="364" customFormat="false" ht="15.75" hidden="false" customHeight="true" outlineLevel="0" collapsed="false">
      <c r="U364" s="34"/>
      <c r="V364" s="34"/>
      <c r="W364" s="34"/>
      <c r="X364" s="34"/>
    </row>
    <row r="365" customFormat="false" ht="15.75" hidden="false" customHeight="true" outlineLevel="0" collapsed="false">
      <c r="U365" s="34"/>
      <c r="V365" s="34"/>
      <c r="W365" s="34"/>
      <c r="X365" s="34"/>
    </row>
    <row r="366" customFormat="false" ht="15.75" hidden="false" customHeight="true" outlineLevel="0" collapsed="false">
      <c r="U366" s="34"/>
      <c r="V366" s="34"/>
      <c r="W366" s="34"/>
      <c r="X366" s="34"/>
    </row>
    <row r="367" customFormat="false" ht="15.75" hidden="false" customHeight="true" outlineLevel="0" collapsed="false">
      <c r="U367" s="34"/>
      <c r="V367" s="34"/>
      <c r="W367" s="34"/>
      <c r="X367" s="34"/>
    </row>
    <row r="368" customFormat="false" ht="15.75" hidden="false" customHeight="true" outlineLevel="0" collapsed="false">
      <c r="U368" s="34"/>
      <c r="V368" s="34"/>
      <c r="W368" s="34"/>
      <c r="X368" s="34"/>
    </row>
    <row r="369" customFormat="false" ht="15.75" hidden="false" customHeight="true" outlineLevel="0" collapsed="false">
      <c r="U369" s="34"/>
      <c r="V369" s="34"/>
      <c r="W369" s="34"/>
      <c r="X369" s="34"/>
    </row>
    <row r="370" customFormat="false" ht="15.75" hidden="false" customHeight="true" outlineLevel="0" collapsed="false">
      <c r="U370" s="34"/>
      <c r="V370" s="34"/>
      <c r="W370" s="34"/>
      <c r="X370" s="34"/>
    </row>
    <row r="371" customFormat="false" ht="15.75" hidden="false" customHeight="true" outlineLevel="0" collapsed="false">
      <c r="U371" s="34"/>
      <c r="V371" s="34"/>
      <c r="W371" s="34"/>
      <c r="X371" s="34"/>
    </row>
    <row r="372" customFormat="false" ht="15.75" hidden="false" customHeight="true" outlineLevel="0" collapsed="false">
      <c r="U372" s="34"/>
      <c r="V372" s="34"/>
      <c r="W372" s="34"/>
      <c r="X372" s="34"/>
    </row>
    <row r="373" customFormat="false" ht="15.75" hidden="false" customHeight="true" outlineLevel="0" collapsed="false">
      <c r="U373" s="34"/>
      <c r="V373" s="34"/>
      <c r="W373" s="34"/>
      <c r="X373" s="34"/>
    </row>
    <row r="374" customFormat="false" ht="15.75" hidden="false" customHeight="true" outlineLevel="0" collapsed="false">
      <c r="U374" s="34"/>
      <c r="V374" s="34"/>
      <c r="W374" s="34"/>
      <c r="X374" s="34"/>
    </row>
    <row r="375" customFormat="false" ht="15.75" hidden="false" customHeight="true" outlineLevel="0" collapsed="false">
      <c r="U375" s="34"/>
      <c r="V375" s="34"/>
      <c r="W375" s="34"/>
      <c r="X375" s="34"/>
    </row>
    <row r="376" customFormat="false" ht="15.75" hidden="false" customHeight="true" outlineLevel="0" collapsed="false">
      <c r="U376" s="34"/>
      <c r="V376" s="34"/>
      <c r="W376" s="34"/>
      <c r="X376" s="34"/>
    </row>
    <row r="377" customFormat="false" ht="15.75" hidden="false" customHeight="true" outlineLevel="0" collapsed="false">
      <c r="U377" s="34"/>
      <c r="V377" s="34"/>
      <c r="W377" s="34"/>
      <c r="X377" s="34"/>
    </row>
    <row r="378" customFormat="false" ht="15.75" hidden="false" customHeight="true" outlineLevel="0" collapsed="false">
      <c r="U378" s="34"/>
      <c r="V378" s="34"/>
      <c r="W378" s="34"/>
      <c r="X378" s="34"/>
    </row>
    <row r="379" customFormat="false" ht="15.75" hidden="false" customHeight="true" outlineLevel="0" collapsed="false">
      <c r="U379" s="34"/>
      <c r="V379" s="34"/>
      <c r="W379" s="34"/>
      <c r="X379" s="34"/>
    </row>
    <row r="380" customFormat="false" ht="15.75" hidden="false" customHeight="true" outlineLevel="0" collapsed="false">
      <c r="U380" s="34"/>
      <c r="V380" s="34"/>
      <c r="W380" s="34"/>
      <c r="X380" s="34"/>
    </row>
    <row r="381" customFormat="false" ht="15.75" hidden="false" customHeight="true" outlineLevel="0" collapsed="false">
      <c r="U381" s="34"/>
      <c r="V381" s="34"/>
      <c r="W381" s="34"/>
      <c r="X381" s="34"/>
    </row>
    <row r="382" customFormat="false" ht="15.75" hidden="false" customHeight="true" outlineLevel="0" collapsed="false">
      <c r="U382" s="34"/>
      <c r="V382" s="34"/>
      <c r="W382" s="34"/>
      <c r="X382" s="34"/>
    </row>
    <row r="383" customFormat="false" ht="15.75" hidden="false" customHeight="true" outlineLevel="0" collapsed="false">
      <c r="U383" s="34"/>
      <c r="V383" s="34"/>
      <c r="W383" s="34"/>
      <c r="X383" s="34"/>
    </row>
    <row r="384" customFormat="false" ht="15.75" hidden="false" customHeight="true" outlineLevel="0" collapsed="false">
      <c r="U384" s="34"/>
      <c r="V384" s="34"/>
      <c r="W384" s="34"/>
      <c r="X384" s="34"/>
    </row>
    <row r="385" customFormat="false" ht="15.75" hidden="false" customHeight="true" outlineLevel="0" collapsed="false">
      <c r="U385" s="34"/>
      <c r="V385" s="34"/>
      <c r="W385" s="34"/>
      <c r="X385" s="34"/>
    </row>
    <row r="386" customFormat="false" ht="15.75" hidden="false" customHeight="true" outlineLevel="0" collapsed="false">
      <c r="U386" s="34"/>
      <c r="V386" s="34"/>
      <c r="W386" s="34"/>
      <c r="X386" s="34"/>
    </row>
    <row r="387" customFormat="false" ht="15.75" hidden="false" customHeight="true" outlineLevel="0" collapsed="false">
      <c r="U387" s="34"/>
      <c r="V387" s="34"/>
      <c r="W387" s="34"/>
      <c r="X387" s="34"/>
    </row>
    <row r="388" customFormat="false" ht="15.75" hidden="false" customHeight="true" outlineLevel="0" collapsed="false">
      <c r="U388" s="34"/>
      <c r="V388" s="34"/>
      <c r="W388" s="34"/>
      <c r="X388" s="34"/>
    </row>
    <row r="389" customFormat="false" ht="15.75" hidden="false" customHeight="true" outlineLevel="0" collapsed="false">
      <c r="U389" s="34"/>
      <c r="V389" s="34"/>
      <c r="W389" s="34"/>
      <c r="X389" s="34"/>
    </row>
    <row r="390" customFormat="false" ht="15.75" hidden="false" customHeight="true" outlineLevel="0" collapsed="false">
      <c r="U390" s="34"/>
      <c r="V390" s="34"/>
      <c r="W390" s="34"/>
      <c r="X390" s="34"/>
    </row>
    <row r="391" customFormat="false" ht="15.75" hidden="false" customHeight="true" outlineLevel="0" collapsed="false">
      <c r="U391" s="34"/>
      <c r="V391" s="34"/>
      <c r="W391" s="34"/>
      <c r="X391" s="34"/>
    </row>
    <row r="392" customFormat="false" ht="15.75" hidden="false" customHeight="true" outlineLevel="0" collapsed="false">
      <c r="U392" s="34"/>
      <c r="V392" s="34"/>
      <c r="W392" s="34"/>
      <c r="X392" s="34"/>
    </row>
    <row r="393" customFormat="false" ht="15.75" hidden="false" customHeight="true" outlineLevel="0" collapsed="false">
      <c r="U393" s="34"/>
      <c r="V393" s="34"/>
      <c r="W393" s="34"/>
      <c r="X393" s="34"/>
    </row>
    <row r="394" customFormat="false" ht="15.75" hidden="false" customHeight="true" outlineLevel="0" collapsed="false">
      <c r="U394" s="34"/>
      <c r="V394" s="34"/>
      <c r="W394" s="34"/>
      <c r="X394" s="34"/>
    </row>
    <row r="395" customFormat="false" ht="15.75" hidden="false" customHeight="true" outlineLevel="0" collapsed="false">
      <c r="U395" s="34"/>
      <c r="V395" s="34"/>
      <c r="W395" s="34"/>
      <c r="X395" s="34"/>
    </row>
    <row r="396" customFormat="false" ht="15.75" hidden="false" customHeight="true" outlineLevel="0" collapsed="false">
      <c r="U396" s="34"/>
      <c r="V396" s="34"/>
      <c r="W396" s="34"/>
      <c r="X396" s="34"/>
    </row>
    <row r="397" customFormat="false" ht="15.75" hidden="false" customHeight="true" outlineLevel="0" collapsed="false">
      <c r="U397" s="34"/>
      <c r="V397" s="34"/>
      <c r="W397" s="34"/>
      <c r="X397" s="34"/>
    </row>
    <row r="398" customFormat="false" ht="15.75" hidden="false" customHeight="true" outlineLevel="0" collapsed="false">
      <c r="U398" s="34"/>
      <c r="V398" s="34"/>
      <c r="W398" s="34"/>
      <c r="X398" s="34"/>
    </row>
    <row r="399" customFormat="false" ht="15.75" hidden="false" customHeight="true" outlineLevel="0" collapsed="false">
      <c r="U399" s="34"/>
      <c r="V399" s="34"/>
      <c r="W399" s="34"/>
      <c r="X399" s="34"/>
    </row>
    <row r="400" customFormat="false" ht="15.75" hidden="false" customHeight="true" outlineLevel="0" collapsed="false">
      <c r="U400" s="34"/>
      <c r="V400" s="34"/>
      <c r="W400" s="34"/>
      <c r="X400" s="34"/>
    </row>
    <row r="401" customFormat="false" ht="15.75" hidden="false" customHeight="true" outlineLevel="0" collapsed="false">
      <c r="U401" s="34"/>
      <c r="V401" s="34"/>
      <c r="W401" s="34"/>
      <c r="X401" s="34"/>
    </row>
    <row r="402" customFormat="false" ht="15.75" hidden="false" customHeight="true" outlineLevel="0" collapsed="false">
      <c r="U402" s="34"/>
      <c r="V402" s="34"/>
      <c r="W402" s="34"/>
      <c r="X402" s="34"/>
    </row>
    <row r="403" customFormat="false" ht="15.75" hidden="false" customHeight="true" outlineLevel="0" collapsed="false">
      <c r="U403" s="34"/>
      <c r="V403" s="34"/>
      <c r="W403" s="34"/>
      <c r="X403" s="34"/>
    </row>
    <row r="404" customFormat="false" ht="15.75" hidden="false" customHeight="true" outlineLevel="0" collapsed="false">
      <c r="U404" s="34"/>
      <c r="V404" s="34"/>
      <c r="W404" s="34"/>
      <c r="X404" s="34"/>
    </row>
    <row r="405" customFormat="false" ht="15.75" hidden="false" customHeight="true" outlineLevel="0" collapsed="false">
      <c r="U405" s="34"/>
      <c r="V405" s="34"/>
      <c r="W405" s="34"/>
      <c r="X405" s="34"/>
    </row>
    <row r="406" customFormat="false" ht="15.75" hidden="false" customHeight="true" outlineLevel="0" collapsed="false">
      <c r="U406" s="34"/>
      <c r="V406" s="34"/>
      <c r="W406" s="34"/>
      <c r="X406" s="34"/>
    </row>
    <row r="407" customFormat="false" ht="15.75" hidden="false" customHeight="true" outlineLevel="0" collapsed="false">
      <c r="U407" s="34"/>
      <c r="V407" s="34"/>
      <c r="W407" s="34"/>
      <c r="X407" s="34"/>
    </row>
    <row r="408" customFormat="false" ht="15.75" hidden="false" customHeight="true" outlineLevel="0" collapsed="false">
      <c r="U408" s="34"/>
      <c r="V408" s="34"/>
      <c r="W408" s="34"/>
      <c r="X408" s="34"/>
    </row>
    <row r="409" customFormat="false" ht="15.75" hidden="false" customHeight="true" outlineLevel="0" collapsed="false">
      <c r="U409" s="34"/>
      <c r="V409" s="34"/>
      <c r="W409" s="34"/>
      <c r="X409" s="34"/>
    </row>
    <row r="410" customFormat="false" ht="15.75" hidden="false" customHeight="true" outlineLevel="0" collapsed="false">
      <c r="U410" s="34"/>
      <c r="V410" s="34"/>
      <c r="W410" s="34"/>
      <c r="X410" s="34"/>
    </row>
    <row r="411" customFormat="false" ht="15.75" hidden="false" customHeight="true" outlineLevel="0" collapsed="false">
      <c r="U411" s="34"/>
      <c r="V411" s="34"/>
      <c r="W411" s="34"/>
      <c r="X411" s="34"/>
    </row>
    <row r="412" customFormat="false" ht="15.75" hidden="false" customHeight="true" outlineLevel="0" collapsed="false">
      <c r="U412" s="34"/>
      <c r="V412" s="34"/>
      <c r="W412" s="34"/>
      <c r="X412" s="34"/>
    </row>
    <row r="413" customFormat="false" ht="15.75" hidden="false" customHeight="true" outlineLevel="0" collapsed="false">
      <c r="U413" s="34"/>
      <c r="V413" s="34"/>
      <c r="W413" s="34"/>
      <c r="X413" s="34"/>
    </row>
    <row r="414" customFormat="false" ht="15.75" hidden="false" customHeight="true" outlineLevel="0" collapsed="false">
      <c r="U414" s="34"/>
      <c r="V414" s="34"/>
      <c r="W414" s="34"/>
      <c r="X414" s="34"/>
    </row>
    <row r="415" customFormat="false" ht="15.75" hidden="false" customHeight="true" outlineLevel="0" collapsed="false">
      <c r="U415" s="34"/>
      <c r="V415" s="34"/>
      <c r="W415" s="34"/>
      <c r="X415" s="34"/>
    </row>
    <row r="416" customFormat="false" ht="15.75" hidden="false" customHeight="true" outlineLevel="0" collapsed="false">
      <c r="U416" s="34"/>
      <c r="V416" s="34"/>
      <c r="W416" s="34"/>
      <c r="X416" s="34"/>
    </row>
    <row r="417" customFormat="false" ht="15.75" hidden="false" customHeight="true" outlineLevel="0" collapsed="false">
      <c r="U417" s="34"/>
      <c r="V417" s="34"/>
      <c r="W417" s="34"/>
      <c r="X417" s="34"/>
    </row>
    <row r="418" customFormat="false" ht="15.75" hidden="false" customHeight="true" outlineLevel="0" collapsed="false">
      <c r="U418" s="34"/>
      <c r="V418" s="34"/>
      <c r="W418" s="34"/>
      <c r="X418" s="34"/>
    </row>
    <row r="419" customFormat="false" ht="15.75" hidden="false" customHeight="true" outlineLevel="0" collapsed="false">
      <c r="U419" s="34"/>
      <c r="V419" s="34"/>
      <c r="W419" s="34"/>
      <c r="X419" s="34"/>
    </row>
    <row r="420" customFormat="false" ht="15.75" hidden="false" customHeight="true" outlineLevel="0" collapsed="false">
      <c r="U420" s="34"/>
      <c r="V420" s="34"/>
      <c r="W420" s="34"/>
      <c r="X420" s="34"/>
    </row>
    <row r="421" customFormat="false" ht="15.75" hidden="false" customHeight="true" outlineLevel="0" collapsed="false">
      <c r="U421" s="34"/>
      <c r="V421" s="34"/>
      <c r="W421" s="34"/>
      <c r="X421" s="34"/>
    </row>
    <row r="422" customFormat="false" ht="15.75" hidden="false" customHeight="true" outlineLevel="0" collapsed="false">
      <c r="U422" s="34"/>
      <c r="V422" s="34"/>
      <c r="W422" s="34"/>
      <c r="X422" s="34"/>
    </row>
    <row r="423" customFormat="false" ht="15.75" hidden="false" customHeight="true" outlineLevel="0" collapsed="false">
      <c r="U423" s="34"/>
      <c r="V423" s="34"/>
      <c r="W423" s="34"/>
      <c r="X423" s="34"/>
    </row>
    <row r="424" customFormat="false" ht="15.75" hidden="false" customHeight="true" outlineLevel="0" collapsed="false">
      <c r="U424" s="34"/>
      <c r="V424" s="34"/>
      <c r="W424" s="34"/>
      <c r="X424" s="34"/>
    </row>
    <row r="425" customFormat="false" ht="15.75" hidden="false" customHeight="true" outlineLevel="0" collapsed="false">
      <c r="U425" s="34"/>
      <c r="V425" s="34"/>
      <c r="W425" s="34"/>
      <c r="X425" s="34"/>
    </row>
    <row r="426" customFormat="false" ht="15.75" hidden="false" customHeight="true" outlineLevel="0" collapsed="false">
      <c r="U426" s="34"/>
      <c r="V426" s="34"/>
      <c r="W426" s="34"/>
      <c r="X426" s="34"/>
    </row>
    <row r="427" customFormat="false" ht="15.75" hidden="false" customHeight="true" outlineLevel="0" collapsed="false">
      <c r="U427" s="34"/>
      <c r="V427" s="34"/>
      <c r="W427" s="34"/>
      <c r="X427" s="34"/>
    </row>
    <row r="428" customFormat="false" ht="15.75" hidden="false" customHeight="true" outlineLevel="0" collapsed="false">
      <c r="U428" s="34"/>
      <c r="V428" s="34"/>
      <c r="W428" s="34"/>
      <c r="X428" s="34"/>
    </row>
    <row r="429" customFormat="false" ht="15.75" hidden="false" customHeight="true" outlineLevel="0" collapsed="false">
      <c r="U429" s="34"/>
      <c r="V429" s="34"/>
      <c r="W429" s="34"/>
      <c r="X429" s="34"/>
    </row>
    <row r="430" customFormat="false" ht="15.75" hidden="false" customHeight="true" outlineLevel="0" collapsed="false">
      <c r="U430" s="34"/>
      <c r="V430" s="34"/>
      <c r="W430" s="34"/>
      <c r="X430" s="34"/>
    </row>
    <row r="431" customFormat="false" ht="15.75" hidden="false" customHeight="true" outlineLevel="0" collapsed="false">
      <c r="U431" s="34"/>
      <c r="V431" s="34"/>
      <c r="W431" s="34"/>
      <c r="X431" s="34"/>
    </row>
    <row r="432" customFormat="false" ht="15.75" hidden="false" customHeight="true" outlineLevel="0" collapsed="false">
      <c r="U432" s="34"/>
      <c r="V432" s="34"/>
      <c r="W432" s="34"/>
      <c r="X432" s="34"/>
    </row>
    <row r="433" customFormat="false" ht="15.75" hidden="false" customHeight="true" outlineLevel="0" collapsed="false">
      <c r="U433" s="34"/>
      <c r="V433" s="34"/>
      <c r="W433" s="34"/>
      <c r="X433" s="34"/>
    </row>
    <row r="434" customFormat="false" ht="15.75" hidden="false" customHeight="true" outlineLevel="0" collapsed="false">
      <c r="U434" s="34"/>
      <c r="V434" s="34"/>
      <c r="W434" s="34"/>
      <c r="X434" s="34"/>
    </row>
    <row r="435" customFormat="false" ht="15.75" hidden="false" customHeight="true" outlineLevel="0" collapsed="false">
      <c r="U435" s="34"/>
      <c r="V435" s="34"/>
      <c r="W435" s="34"/>
      <c r="X435" s="34"/>
    </row>
    <row r="436" customFormat="false" ht="15.75" hidden="false" customHeight="true" outlineLevel="0" collapsed="false">
      <c r="U436" s="34"/>
      <c r="V436" s="34"/>
      <c r="W436" s="34"/>
      <c r="X436" s="34"/>
    </row>
    <row r="437" customFormat="false" ht="15.75" hidden="false" customHeight="true" outlineLevel="0" collapsed="false">
      <c r="U437" s="34"/>
      <c r="V437" s="34"/>
      <c r="W437" s="34"/>
      <c r="X437" s="34"/>
    </row>
    <row r="438" customFormat="false" ht="15.75" hidden="false" customHeight="true" outlineLevel="0" collapsed="false">
      <c r="U438" s="34"/>
      <c r="V438" s="34"/>
      <c r="W438" s="34"/>
      <c r="X438" s="34"/>
    </row>
    <row r="439" customFormat="false" ht="15.75" hidden="false" customHeight="true" outlineLevel="0" collapsed="false">
      <c r="U439" s="34"/>
      <c r="V439" s="34"/>
      <c r="W439" s="34"/>
      <c r="X439" s="34"/>
    </row>
    <row r="440" customFormat="false" ht="15.75" hidden="false" customHeight="true" outlineLevel="0" collapsed="false">
      <c r="U440" s="34"/>
      <c r="V440" s="34"/>
      <c r="W440" s="34"/>
      <c r="X440" s="34"/>
    </row>
    <row r="441" customFormat="false" ht="15.75" hidden="false" customHeight="true" outlineLevel="0" collapsed="false">
      <c r="U441" s="34"/>
      <c r="V441" s="34"/>
      <c r="W441" s="34"/>
      <c r="X441" s="34"/>
    </row>
    <row r="442" customFormat="false" ht="15.75" hidden="false" customHeight="true" outlineLevel="0" collapsed="false">
      <c r="U442" s="34"/>
      <c r="V442" s="34"/>
      <c r="W442" s="34"/>
      <c r="X442" s="34"/>
    </row>
    <row r="443" customFormat="false" ht="15.75" hidden="false" customHeight="true" outlineLevel="0" collapsed="false">
      <c r="U443" s="34"/>
      <c r="V443" s="34"/>
      <c r="W443" s="34"/>
      <c r="X443" s="34"/>
    </row>
    <row r="444" customFormat="false" ht="15.75" hidden="false" customHeight="true" outlineLevel="0" collapsed="false">
      <c r="U444" s="34"/>
      <c r="V444" s="34"/>
      <c r="W444" s="34"/>
      <c r="X444" s="34"/>
    </row>
    <row r="445" customFormat="false" ht="15.75" hidden="false" customHeight="true" outlineLevel="0" collapsed="false">
      <c r="U445" s="34"/>
      <c r="V445" s="34"/>
      <c r="W445" s="34"/>
      <c r="X445" s="34"/>
    </row>
    <row r="446" customFormat="false" ht="15.75" hidden="false" customHeight="true" outlineLevel="0" collapsed="false">
      <c r="U446" s="34"/>
      <c r="V446" s="34"/>
      <c r="W446" s="34"/>
      <c r="X446" s="34"/>
    </row>
    <row r="447" customFormat="false" ht="15.75" hidden="false" customHeight="true" outlineLevel="0" collapsed="false">
      <c r="U447" s="34"/>
      <c r="V447" s="34"/>
      <c r="W447" s="34"/>
      <c r="X447" s="34"/>
    </row>
    <row r="448" customFormat="false" ht="15.75" hidden="false" customHeight="true" outlineLevel="0" collapsed="false">
      <c r="U448" s="34"/>
      <c r="V448" s="34"/>
      <c r="W448" s="34"/>
      <c r="X448" s="34"/>
    </row>
    <row r="449" customFormat="false" ht="15.75" hidden="false" customHeight="true" outlineLevel="0" collapsed="false">
      <c r="U449" s="34"/>
      <c r="V449" s="34"/>
      <c r="W449" s="34"/>
      <c r="X449" s="34"/>
    </row>
    <row r="450" customFormat="false" ht="15.75" hidden="false" customHeight="true" outlineLevel="0" collapsed="false">
      <c r="U450" s="34"/>
      <c r="V450" s="34"/>
      <c r="W450" s="34"/>
      <c r="X450" s="34"/>
    </row>
    <row r="451" customFormat="false" ht="15.75" hidden="false" customHeight="true" outlineLevel="0" collapsed="false">
      <c r="U451" s="34"/>
      <c r="V451" s="34"/>
      <c r="W451" s="34"/>
      <c r="X451" s="34"/>
    </row>
    <row r="452" customFormat="false" ht="15.75" hidden="false" customHeight="true" outlineLevel="0" collapsed="false">
      <c r="U452" s="34"/>
      <c r="V452" s="34"/>
      <c r="W452" s="34"/>
      <c r="X452" s="34"/>
    </row>
    <row r="453" customFormat="false" ht="15.75" hidden="false" customHeight="true" outlineLevel="0" collapsed="false">
      <c r="U453" s="34"/>
      <c r="V453" s="34"/>
      <c r="W453" s="34"/>
      <c r="X453" s="34"/>
    </row>
    <row r="454" customFormat="false" ht="15.75" hidden="false" customHeight="true" outlineLevel="0" collapsed="false">
      <c r="U454" s="34"/>
      <c r="V454" s="34"/>
      <c r="W454" s="34"/>
      <c r="X454" s="34"/>
    </row>
    <row r="455" customFormat="false" ht="15.75" hidden="false" customHeight="true" outlineLevel="0" collapsed="false">
      <c r="U455" s="34"/>
      <c r="V455" s="34"/>
      <c r="W455" s="34"/>
      <c r="X455" s="34"/>
    </row>
    <row r="456" customFormat="false" ht="15.75" hidden="false" customHeight="true" outlineLevel="0" collapsed="false">
      <c r="U456" s="34"/>
      <c r="V456" s="34"/>
      <c r="W456" s="34"/>
      <c r="X456" s="34"/>
    </row>
    <row r="457" customFormat="false" ht="15.75" hidden="false" customHeight="true" outlineLevel="0" collapsed="false">
      <c r="U457" s="34"/>
      <c r="V457" s="34"/>
      <c r="W457" s="34"/>
      <c r="X457" s="34"/>
    </row>
    <row r="458" customFormat="false" ht="15.75" hidden="false" customHeight="true" outlineLevel="0" collapsed="false">
      <c r="U458" s="34"/>
      <c r="V458" s="34"/>
      <c r="W458" s="34"/>
      <c r="X458" s="34"/>
    </row>
    <row r="459" customFormat="false" ht="15.75" hidden="false" customHeight="true" outlineLevel="0" collapsed="false">
      <c r="U459" s="34"/>
      <c r="V459" s="34"/>
      <c r="W459" s="34"/>
      <c r="X459" s="34"/>
    </row>
    <row r="460" customFormat="false" ht="15.75" hidden="false" customHeight="true" outlineLevel="0" collapsed="false">
      <c r="U460" s="34"/>
      <c r="V460" s="34"/>
      <c r="W460" s="34"/>
      <c r="X460" s="34"/>
    </row>
    <row r="461" customFormat="false" ht="15.75" hidden="false" customHeight="true" outlineLevel="0" collapsed="false">
      <c r="U461" s="34"/>
      <c r="V461" s="34"/>
      <c r="W461" s="34"/>
      <c r="X461" s="34"/>
    </row>
    <row r="462" customFormat="false" ht="15.75" hidden="false" customHeight="true" outlineLevel="0" collapsed="false">
      <c r="U462" s="34"/>
      <c r="V462" s="34"/>
      <c r="W462" s="34"/>
      <c r="X462" s="34"/>
    </row>
    <row r="463" customFormat="false" ht="15.75" hidden="false" customHeight="true" outlineLevel="0" collapsed="false">
      <c r="U463" s="34"/>
      <c r="V463" s="34"/>
      <c r="W463" s="34"/>
      <c r="X463" s="34"/>
    </row>
    <row r="464" customFormat="false" ht="15.75" hidden="false" customHeight="true" outlineLevel="0" collapsed="false">
      <c r="U464" s="34"/>
      <c r="V464" s="34"/>
      <c r="W464" s="34"/>
      <c r="X464" s="34"/>
    </row>
    <row r="465" customFormat="false" ht="15.75" hidden="false" customHeight="true" outlineLevel="0" collapsed="false">
      <c r="U465" s="34"/>
      <c r="V465" s="34"/>
      <c r="W465" s="34"/>
      <c r="X465" s="34"/>
    </row>
    <row r="466" customFormat="false" ht="15.75" hidden="false" customHeight="true" outlineLevel="0" collapsed="false">
      <c r="U466" s="34"/>
      <c r="V466" s="34"/>
      <c r="W466" s="34"/>
      <c r="X466" s="34"/>
    </row>
    <row r="467" customFormat="false" ht="15.75" hidden="false" customHeight="true" outlineLevel="0" collapsed="false">
      <c r="U467" s="34"/>
      <c r="V467" s="34"/>
      <c r="W467" s="34"/>
      <c r="X467" s="34"/>
    </row>
    <row r="468" customFormat="false" ht="15.75" hidden="false" customHeight="true" outlineLevel="0" collapsed="false">
      <c r="U468" s="34"/>
      <c r="V468" s="34"/>
      <c r="W468" s="34"/>
      <c r="X468" s="34"/>
    </row>
    <row r="469" customFormat="false" ht="15.75" hidden="false" customHeight="true" outlineLevel="0" collapsed="false">
      <c r="U469" s="34"/>
      <c r="V469" s="34"/>
      <c r="W469" s="34"/>
      <c r="X469" s="34"/>
    </row>
    <row r="470" customFormat="false" ht="15.75" hidden="false" customHeight="true" outlineLevel="0" collapsed="false">
      <c r="U470" s="34"/>
      <c r="V470" s="34"/>
      <c r="W470" s="34"/>
      <c r="X470" s="34"/>
    </row>
    <row r="471" customFormat="false" ht="15.75" hidden="false" customHeight="true" outlineLevel="0" collapsed="false">
      <c r="U471" s="34"/>
      <c r="V471" s="34"/>
      <c r="W471" s="34"/>
      <c r="X471" s="34"/>
    </row>
    <row r="472" customFormat="false" ht="15.75" hidden="false" customHeight="true" outlineLevel="0" collapsed="false">
      <c r="U472" s="34"/>
      <c r="V472" s="34"/>
      <c r="W472" s="34"/>
      <c r="X472" s="34"/>
    </row>
    <row r="473" customFormat="false" ht="15.75" hidden="false" customHeight="true" outlineLevel="0" collapsed="false">
      <c r="U473" s="34"/>
      <c r="V473" s="34"/>
      <c r="W473" s="34"/>
      <c r="X473" s="34"/>
    </row>
    <row r="474" customFormat="false" ht="15.75" hidden="false" customHeight="true" outlineLevel="0" collapsed="false">
      <c r="U474" s="34"/>
      <c r="V474" s="34"/>
      <c r="W474" s="34"/>
      <c r="X474" s="34"/>
    </row>
    <row r="475" customFormat="false" ht="15.75" hidden="false" customHeight="true" outlineLevel="0" collapsed="false">
      <c r="U475" s="34"/>
      <c r="V475" s="34"/>
      <c r="W475" s="34"/>
      <c r="X475" s="34"/>
    </row>
    <row r="476" customFormat="false" ht="15.75" hidden="false" customHeight="true" outlineLevel="0" collapsed="false">
      <c r="U476" s="34"/>
      <c r="V476" s="34"/>
      <c r="W476" s="34"/>
      <c r="X476" s="34"/>
    </row>
    <row r="477" customFormat="false" ht="15.75" hidden="false" customHeight="true" outlineLevel="0" collapsed="false">
      <c r="U477" s="34"/>
      <c r="V477" s="34"/>
      <c r="W477" s="34"/>
      <c r="X477" s="34"/>
    </row>
    <row r="478" customFormat="false" ht="15.75" hidden="false" customHeight="true" outlineLevel="0" collapsed="false">
      <c r="U478" s="34"/>
      <c r="V478" s="34"/>
      <c r="W478" s="34"/>
      <c r="X478" s="34"/>
    </row>
    <row r="479" customFormat="false" ht="15.75" hidden="false" customHeight="true" outlineLevel="0" collapsed="false">
      <c r="U479" s="34"/>
      <c r="V479" s="34"/>
      <c r="W479" s="34"/>
      <c r="X479" s="34"/>
    </row>
    <row r="480" customFormat="false" ht="15.75" hidden="false" customHeight="true" outlineLevel="0" collapsed="false">
      <c r="U480" s="34"/>
      <c r="V480" s="34"/>
      <c r="W480" s="34"/>
      <c r="X480" s="34"/>
    </row>
    <row r="481" customFormat="false" ht="15.75" hidden="false" customHeight="true" outlineLevel="0" collapsed="false">
      <c r="U481" s="34"/>
      <c r="V481" s="34"/>
      <c r="W481" s="34"/>
      <c r="X481" s="34"/>
    </row>
    <row r="482" customFormat="false" ht="15.75" hidden="false" customHeight="true" outlineLevel="0" collapsed="false">
      <c r="U482" s="34"/>
      <c r="V482" s="34"/>
      <c r="W482" s="34"/>
      <c r="X482" s="34"/>
    </row>
    <row r="483" customFormat="false" ht="15.75" hidden="false" customHeight="true" outlineLevel="0" collapsed="false">
      <c r="U483" s="34"/>
      <c r="V483" s="34"/>
      <c r="W483" s="34"/>
      <c r="X483" s="34"/>
    </row>
    <row r="484" customFormat="false" ht="15.75" hidden="false" customHeight="true" outlineLevel="0" collapsed="false">
      <c r="U484" s="34"/>
      <c r="V484" s="34"/>
      <c r="W484" s="34"/>
      <c r="X484" s="34"/>
    </row>
    <row r="485" customFormat="false" ht="15.75" hidden="false" customHeight="true" outlineLevel="0" collapsed="false">
      <c r="U485" s="34"/>
      <c r="V485" s="34"/>
      <c r="W485" s="34"/>
      <c r="X485" s="34"/>
    </row>
    <row r="486" customFormat="false" ht="15.75" hidden="false" customHeight="true" outlineLevel="0" collapsed="false">
      <c r="U486" s="34"/>
      <c r="V486" s="34"/>
      <c r="W486" s="34"/>
      <c r="X486" s="34"/>
    </row>
    <row r="487" customFormat="false" ht="15.75" hidden="false" customHeight="true" outlineLevel="0" collapsed="false">
      <c r="U487" s="34"/>
      <c r="V487" s="34"/>
      <c r="W487" s="34"/>
      <c r="X487" s="34"/>
    </row>
    <row r="488" customFormat="false" ht="15.75" hidden="false" customHeight="true" outlineLevel="0" collapsed="false">
      <c r="U488" s="34"/>
      <c r="V488" s="34"/>
      <c r="W488" s="34"/>
      <c r="X488" s="34"/>
    </row>
    <row r="489" customFormat="false" ht="15.75" hidden="false" customHeight="true" outlineLevel="0" collapsed="false">
      <c r="U489" s="34"/>
      <c r="V489" s="34"/>
      <c r="W489" s="34"/>
      <c r="X489" s="34"/>
    </row>
    <row r="490" customFormat="false" ht="15.75" hidden="false" customHeight="true" outlineLevel="0" collapsed="false">
      <c r="U490" s="34"/>
      <c r="V490" s="34"/>
      <c r="W490" s="34"/>
      <c r="X490" s="34"/>
    </row>
    <row r="491" customFormat="false" ht="15.75" hidden="false" customHeight="true" outlineLevel="0" collapsed="false">
      <c r="U491" s="34"/>
      <c r="V491" s="34"/>
      <c r="W491" s="34"/>
      <c r="X491" s="34"/>
    </row>
    <row r="492" customFormat="false" ht="15.75" hidden="false" customHeight="true" outlineLevel="0" collapsed="false">
      <c r="U492" s="34"/>
      <c r="V492" s="34"/>
      <c r="W492" s="34"/>
      <c r="X492" s="34"/>
    </row>
    <row r="493" customFormat="false" ht="15.75" hidden="false" customHeight="true" outlineLevel="0" collapsed="false">
      <c r="U493" s="34"/>
      <c r="V493" s="34"/>
      <c r="W493" s="34"/>
      <c r="X493" s="34"/>
    </row>
    <row r="494" customFormat="false" ht="15.75" hidden="false" customHeight="true" outlineLevel="0" collapsed="false">
      <c r="U494" s="34"/>
      <c r="V494" s="34"/>
      <c r="W494" s="34"/>
      <c r="X494" s="34"/>
    </row>
    <row r="495" customFormat="false" ht="15.75" hidden="false" customHeight="true" outlineLevel="0" collapsed="false">
      <c r="U495" s="34"/>
      <c r="V495" s="34"/>
      <c r="W495" s="34"/>
      <c r="X495" s="34"/>
    </row>
    <row r="496" customFormat="false" ht="15.75" hidden="false" customHeight="true" outlineLevel="0" collapsed="false">
      <c r="U496" s="34"/>
      <c r="V496" s="34"/>
      <c r="W496" s="34"/>
      <c r="X496" s="34"/>
    </row>
    <row r="497" customFormat="false" ht="15.75" hidden="false" customHeight="true" outlineLevel="0" collapsed="false">
      <c r="U497" s="34"/>
      <c r="V497" s="34"/>
      <c r="W497" s="34"/>
      <c r="X497" s="34"/>
    </row>
    <row r="498" customFormat="false" ht="15.75" hidden="false" customHeight="true" outlineLevel="0" collapsed="false">
      <c r="U498" s="34"/>
      <c r="V498" s="34"/>
      <c r="W498" s="34"/>
      <c r="X498" s="34"/>
    </row>
    <row r="499" customFormat="false" ht="15.75" hidden="false" customHeight="true" outlineLevel="0" collapsed="false">
      <c r="U499" s="34"/>
      <c r="V499" s="34"/>
      <c r="W499" s="34"/>
      <c r="X499" s="34"/>
    </row>
    <row r="500" customFormat="false" ht="15.75" hidden="false" customHeight="true" outlineLevel="0" collapsed="false">
      <c r="U500" s="34"/>
      <c r="V500" s="34"/>
      <c r="W500" s="34"/>
      <c r="X500" s="34"/>
    </row>
    <row r="501" customFormat="false" ht="15.75" hidden="false" customHeight="true" outlineLevel="0" collapsed="false">
      <c r="U501" s="34"/>
      <c r="V501" s="34"/>
      <c r="W501" s="34"/>
      <c r="X501" s="34"/>
    </row>
    <row r="502" customFormat="false" ht="15.75" hidden="false" customHeight="true" outlineLevel="0" collapsed="false">
      <c r="U502" s="34"/>
      <c r="V502" s="34"/>
      <c r="W502" s="34"/>
      <c r="X502" s="34"/>
    </row>
    <row r="503" customFormat="false" ht="15.75" hidden="false" customHeight="true" outlineLevel="0" collapsed="false">
      <c r="U503" s="34"/>
      <c r="V503" s="34"/>
      <c r="W503" s="34"/>
      <c r="X503" s="34"/>
    </row>
    <row r="504" customFormat="false" ht="15.75" hidden="false" customHeight="true" outlineLevel="0" collapsed="false">
      <c r="U504" s="34"/>
      <c r="V504" s="34"/>
      <c r="W504" s="34"/>
      <c r="X504" s="34"/>
    </row>
    <row r="505" customFormat="false" ht="15.75" hidden="false" customHeight="true" outlineLevel="0" collapsed="false">
      <c r="U505" s="34"/>
      <c r="V505" s="34"/>
      <c r="W505" s="34"/>
      <c r="X505" s="34"/>
    </row>
    <row r="506" customFormat="false" ht="15.75" hidden="false" customHeight="true" outlineLevel="0" collapsed="false">
      <c r="U506" s="34"/>
      <c r="V506" s="34"/>
      <c r="W506" s="34"/>
      <c r="X506" s="34"/>
    </row>
    <row r="507" customFormat="false" ht="15.75" hidden="false" customHeight="true" outlineLevel="0" collapsed="false">
      <c r="U507" s="34"/>
      <c r="V507" s="34"/>
      <c r="W507" s="34"/>
      <c r="X507" s="34"/>
    </row>
    <row r="508" customFormat="false" ht="15.75" hidden="false" customHeight="true" outlineLevel="0" collapsed="false">
      <c r="U508" s="34"/>
      <c r="V508" s="34"/>
      <c r="W508" s="34"/>
      <c r="X508" s="34"/>
    </row>
    <row r="509" customFormat="false" ht="15.75" hidden="false" customHeight="true" outlineLevel="0" collapsed="false">
      <c r="U509" s="34"/>
      <c r="V509" s="34"/>
      <c r="W509" s="34"/>
      <c r="X509" s="34"/>
    </row>
    <row r="510" customFormat="false" ht="15.75" hidden="false" customHeight="true" outlineLevel="0" collapsed="false">
      <c r="U510" s="34"/>
      <c r="V510" s="34"/>
      <c r="W510" s="34"/>
      <c r="X510" s="34"/>
    </row>
    <row r="511" customFormat="false" ht="15.75" hidden="false" customHeight="true" outlineLevel="0" collapsed="false">
      <c r="U511" s="34"/>
      <c r="V511" s="34"/>
      <c r="W511" s="34"/>
      <c r="X511" s="34"/>
    </row>
    <row r="512" customFormat="false" ht="15.75" hidden="false" customHeight="true" outlineLevel="0" collapsed="false">
      <c r="U512" s="34"/>
      <c r="V512" s="34"/>
      <c r="W512" s="34"/>
      <c r="X512" s="34"/>
    </row>
    <row r="513" customFormat="false" ht="15.75" hidden="false" customHeight="true" outlineLevel="0" collapsed="false">
      <c r="U513" s="34"/>
      <c r="V513" s="34"/>
      <c r="W513" s="34"/>
      <c r="X513" s="34"/>
    </row>
    <row r="514" customFormat="false" ht="15.75" hidden="false" customHeight="true" outlineLevel="0" collapsed="false">
      <c r="U514" s="34"/>
      <c r="V514" s="34"/>
      <c r="W514" s="34"/>
      <c r="X514" s="34"/>
    </row>
    <row r="515" customFormat="false" ht="15.75" hidden="false" customHeight="true" outlineLevel="0" collapsed="false">
      <c r="U515" s="34"/>
      <c r="V515" s="34"/>
      <c r="W515" s="34"/>
      <c r="X515" s="34"/>
    </row>
    <row r="516" customFormat="false" ht="15.75" hidden="false" customHeight="true" outlineLevel="0" collapsed="false">
      <c r="U516" s="34"/>
      <c r="V516" s="34"/>
      <c r="W516" s="34"/>
      <c r="X516" s="34"/>
    </row>
    <row r="517" customFormat="false" ht="15.75" hidden="false" customHeight="true" outlineLevel="0" collapsed="false">
      <c r="U517" s="34"/>
      <c r="V517" s="34"/>
      <c r="W517" s="34"/>
      <c r="X517" s="34"/>
    </row>
    <row r="518" customFormat="false" ht="15.75" hidden="false" customHeight="true" outlineLevel="0" collapsed="false">
      <c r="U518" s="34"/>
      <c r="V518" s="34"/>
      <c r="W518" s="34"/>
      <c r="X518" s="34"/>
    </row>
    <row r="519" customFormat="false" ht="15.75" hidden="false" customHeight="true" outlineLevel="0" collapsed="false">
      <c r="U519" s="34"/>
      <c r="V519" s="34"/>
      <c r="W519" s="34"/>
      <c r="X519" s="34"/>
    </row>
    <row r="520" customFormat="false" ht="15.75" hidden="false" customHeight="true" outlineLevel="0" collapsed="false">
      <c r="U520" s="34"/>
      <c r="V520" s="34"/>
      <c r="W520" s="34"/>
      <c r="X520" s="34"/>
    </row>
    <row r="521" customFormat="false" ht="15.75" hidden="false" customHeight="true" outlineLevel="0" collapsed="false">
      <c r="U521" s="34"/>
      <c r="V521" s="34"/>
      <c r="W521" s="34"/>
      <c r="X521" s="34"/>
    </row>
    <row r="522" customFormat="false" ht="15.75" hidden="false" customHeight="true" outlineLevel="0" collapsed="false">
      <c r="U522" s="34"/>
      <c r="V522" s="34"/>
      <c r="W522" s="34"/>
      <c r="X522" s="34"/>
    </row>
    <row r="523" customFormat="false" ht="15.75" hidden="false" customHeight="true" outlineLevel="0" collapsed="false">
      <c r="U523" s="34"/>
      <c r="V523" s="34"/>
      <c r="W523" s="34"/>
      <c r="X523" s="34"/>
    </row>
    <row r="524" customFormat="false" ht="15.75" hidden="false" customHeight="true" outlineLevel="0" collapsed="false">
      <c r="U524" s="34"/>
      <c r="V524" s="34"/>
      <c r="W524" s="34"/>
      <c r="X524" s="34"/>
    </row>
    <row r="525" customFormat="false" ht="15.75" hidden="false" customHeight="true" outlineLevel="0" collapsed="false">
      <c r="U525" s="34"/>
      <c r="V525" s="34"/>
      <c r="W525" s="34"/>
      <c r="X525" s="34"/>
    </row>
    <row r="526" customFormat="false" ht="15.75" hidden="false" customHeight="true" outlineLevel="0" collapsed="false">
      <c r="U526" s="34"/>
      <c r="V526" s="34"/>
      <c r="W526" s="34"/>
      <c r="X526" s="34"/>
    </row>
    <row r="527" customFormat="false" ht="15.75" hidden="false" customHeight="true" outlineLevel="0" collapsed="false">
      <c r="U527" s="34"/>
      <c r="V527" s="34"/>
      <c r="W527" s="34"/>
      <c r="X527" s="34"/>
    </row>
    <row r="528" customFormat="false" ht="15.75" hidden="false" customHeight="true" outlineLevel="0" collapsed="false">
      <c r="U528" s="34"/>
      <c r="V528" s="34"/>
      <c r="W528" s="34"/>
      <c r="X528" s="34"/>
    </row>
    <row r="529" customFormat="false" ht="15.75" hidden="false" customHeight="true" outlineLevel="0" collapsed="false">
      <c r="U529" s="34"/>
      <c r="V529" s="34"/>
      <c r="W529" s="34"/>
      <c r="X529" s="34"/>
    </row>
    <row r="530" customFormat="false" ht="15.75" hidden="false" customHeight="true" outlineLevel="0" collapsed="false">
      <c r="U530" s="34"/>
      <c r="V530" s="34"/>
      <c r="W530" s="34"/>
      <c r="X530" s="34"/>
    </row>
    <row r="531" customFormat="false" ht="15.75" hidden="false" customHeight="true" outlineLevel="0" collapsed="false">
      <c r="U531" s="34"/>
      <c r="V531" s="34"/>
      <c r="W531" s="34"/>
      <c r="X531" s="34"/>
    </row>
    <row r="532" customFormat="false" ht="15.75" hidden="false" customHeight="true" outlineLevel="0" collapsed="false">
      <c r="U532" s="34"/>
      <c r="V532" s="34"/>
      <c r="W532" s="34"/>
      <c r="X532" s="34"/>
    </row>
    <row r="533" customFormat="false" ht="15.75" hidden="false" customHeight="true" outlineLevel="0" collapsed="false">
      <c r="U533" s="34"/>
      <c r="V533" s="34"/>
      <c r="W533" s="34"/>
      <c r="X533" s="34"/>
    </row>
    <row r="534" customFormat="false" ht="15.75" hidden="false" customHeight="true" outlineLevel="0" collapsed="false">
      <c r="U534" s="34"/>
      <c r="V534" s="34"/>
      <c r="W534" s="34"/>
      <c r="X534" s="34"/>
    </row>
    <row r="535" customFormat="false" ht="15.75" hidden="false" customHeight="true" outlineLevel="0" collapsed="false">
      <c r="U535" s="34"/>
      <c r="V535" s="34"/>
      <c r="W535" s="34"/>
      <c r="X535" s="34"/>
    </row>
    <row r="536" customFormat="false" ht="15.75" hidden="false" customHeight="true" outlineLevel="0" collapsed="false">
      <c r="U536" s="34"/>
      <c r="V536" s="34"/>
      <c r="W536" s="34"/>
      <c r="X536" s="34"/>
    </row>
    <row r="537" customFormat="false" ht="15.75" hidden="false" customHeight="true" outlineLevel="0" collapsed="false">
      <c r="U537" s="34"/>
      <c r="V537" s="34"/>
      <c r="W537" s="34"/>
      <c r="X537" s="34"/>
    </row>
    <row r="538" customFormat="false" ht="15.75" hidden="false" customHeight="true" outlineLevel="0" collapsed="false">
      <c r="U538" s="34"/>
      <c r="V538" s="34"/>
      <c r="W538" s="34"/>
      <c r="X538" s="34"/>
    </row>
    <row r="539" customFormat="false" ht="15.75" hidden="false" customHeight="true" outlineLevel="0" collapsed="false">
      <c r="U539" s="34"/>
      <c r="V539" s="34"/>
      <c r="W539" s="34"/>
      <c r="X539" s="34"/>
    </row>
    <row r="540" customFormat="false" ht="15.75" hidden="false" customHeight="true" outlineLevel="0" collapsed="false">
      <c r="U540" s="34"/>
      <c r="V540" s="34"/>
      <c r="W540" s="34"/>
      <c r="X540" s="34"/>
    </row>
    <row r="541" customFormat="false" ht="15.75" hidden="false" customHeight="true" outlineLevel="0" collapsed="false">
      <c r="U541" s="34"/>
      <c r="V541" s="34"/>
      <c r="W541" s="34"/>
      <c r="X541" s="34"/>
    </row>
    <row r="542" customFormat="false" ht="15.75" hidden="false" customHeight="true" outlineLevel="0" collapsed="false">
      <c r="U542" s="34"/>
      <c r="V542" s="34"/>
      <c r="W542" s="34"/>
      <c r="X542" s="34"/>
    </row>
    <row r="543" customFormat="false" ht="15.75" hidden="false" customHeight="true" outlineLevel="0" collapsed="false">
      <c r="U543" s="34"/>
      <c r="V543" s="34"/>
      <c r="W543" s="34"/>
      <c r="X543" s="34"/>
    </row>
    <row r="544" customFormat="false" ht="15.75" hidden="false" customHeight="true" outlineLevel="0" collapsed="false">
      <c r="U544" s="34"/>
      <c r="V544" s="34"/>
      <c r="W544" s="34"/>
      <c r="X544" s="34"/>
    </row>
    <row r="545" customFormat="false" ht="15.75" hidden="false" customHeight="true" outlineLevel="0" collapsed="false">
      <c r="U545" s="34"/>
      <c r="V545" s="34"/>
      <c r="W545" s="34"/>
      <c r="X545" s="34"/>
    </row>
    <row r="546" customFormat="false" ht="15.75" hidden="false" customHeight="true" outlineLevel="0" collapsed="false">
      <c r="U546" s="34"/>
      <c r="V546" s="34"/>
      <c r="W546" s="34"/>
      <c r="X546" s="34"/>
    </row>
    <row r="547" customFormat="false" ht="15.75" hidden="false" customHeight="true" outlineLevel="0" collapsed="false">
      <c r="U547" s="34"/>
      <c r="V547" s="34"/>
      <c r="W547" s="34"/>
      <c r="X547" s="34"/>
    </row>
    <row r="548" customFormat="false" ht="15.75" hidden="false" customHeight="true" outlineLevel="0" collapsed="false">
      <c r="U548" s="34"/>
      <c r="V548" s="34"/>
      <c r="W548" s="34"/>
      <c r="X548" s="34"/>
    </row>
    <row r="549" customFormat="false" ht="15.75" hidden="false" customHeight="true" outlineLevel="0" collapsed="false">
      <c r="U549" s="34"/>
      <c r="V549" s="34"/>
      <c r="W549" s="34"/>
      <c r="X549" s="34"/>
    </row>
    <row r="550" customFormat="false" ht="15.75" hidden="false" customHeight="true" outlineLevel="0" collapsed="false">
      <c r="U550" s="34"/>
      <c r="V550" s="34"/>
      <c r="W550" s="34"/>
      <c r="X550" s="34"/>
    </row>
    <row r="551" customFormat="false" ht="15.75" hidden="false" customHeight="true" outlineLevel="0" collapsed="false">
      <c r="U551" s="34"/>
      <c r="V551" s="34"/>
      <c r="W551" s="34"/>
      <c r="X551" s="34"/>
    </row>
    <row r="552" customFormat="false" ht="15.75" hidden="false" customHeight="true" outlineLevel="0" collapsed="false">
      <c r="U552" s="34"/>
      <c r="V552" s="34"/>
      <c r="W552" s="34"/>
      <c r="X552" s="34"/>
    </row>
    <row r="553" customFormat="false" ht="15.75" hidden="false" customHeight="true" outlineLevel="0" collapsed="false">
      <c r="U553" s="34"/>
      <c r="V553" s="34"/>
      <c r="W553" s="34"/>
      <c r="X553" s="34"/>
    </row>
    <row r="554" customFormat="false" ht="15.75" hidden="false" customHeight="true" outlineLevel="0" collapsed="false">
      <c r="U554" s="34"/>
      <c r="V554" s="34"/>
      <c r="W554" s="34"/>
      <c r="X554" s="34"/>
    </row>
    <row r="555" customFormat="false" ht="15.75" hidden="false" customHeight="true" outlineLevel="0" collapsed="false">
      <c r="U555" s="34"/>
      <c r="V555" s="34"/>
      <c r="W555" s="34"/>
      <c r="X555" s="34"/>
    </row>
    <row r="556" customFormat="false" ht="15.75" hidden="false" customHeight="true" outlineLevel="0" collapsed="false">
      <c r="U556" s="34"/>
      <c r="V556" s="34"/>
      <c r="W556" s="34"/>
      <c r="X556" s="34"/>
    </row>
    <row r="557" customFormat="false" ht="15.75" hidden="false" customHeight="true" outlineLevel="0" collapsed="false">
      <c r="U557" s="34"/>
      <c r="V557" s="34"/>
      <c r="W557" s="34"/>
      <c r="X557" s="34"/>
    </row>
    <row r="558" customFormat="false" ht="15.75" hidden="false" customHeight="true" outlineLevel="0" collapsed="false">
      <c r="U558" s="34"/>
      <c r="V558" s="34"/>
      <c r="W558" s="34"/>
      <c r="X558" s="34"/>
    </row>
    <row r="559" customFormat="false" ht="15.75" hidden="false" customHeight="true" outlineLevel="0" collapsed="false">
      <c r="U559" s="34"/>
      <c r="V559" s="34"/>
      <c r="W559" s="34"/>
      <c r="X559" s="34"/>
    </row>
    <row r="560" customFormat="false" ht="15.75" hidden="false" customHeight="true" outlineLevel="0" collapsed="false">
      <c r="U560" s="34"/>
      <c r="V560" s="34"/>
      <c r="W560" s="34"/>
      <c r="X560" s="34"/>
    </row>
    <row r="561" customFormat="false" ht="15.75" hidden="false" customHeight="true" outlineLevel="0" collapsed="false">
      <c r="U561" s="34"/>
      <c r="V561" s="34"/>
      <c r="W561" s="34"/>
      <c r="X561" s="34"/>
    </row>
    <row r="562" customFormat="false" ht="15.75" hidden="false" customHeight="true" outlineLevel="0" collapsed="false">
      <c r="U562" s="34"/>
      <c r="V562" s="34"/>
      <c r="W562" s="34"/>
      <c r="X562" s="34"/>
    </row>
    <row r="563" customFormat="false" ht="15.75" hidden="false" customHeight="true" outlineLevel="0" collapsed="false">
      <c r="U563" s="34"/>
      <c r="V563" s="34"/>
      <c r="W563" s="34"/>
      <c r="X563" s="34"/>
    </row>
    <row r="564" customFormat="false" ht="15.75" hidden="false" customHeight="true" outlineLevel="0" collapsed="false">
      <c r="U564" s="34"/>
      <c r="V564" s="34"/>
      <c r="W564" s="34"/>
      <c r="X564" s="34"/>
    </row>
    <row r="565" customFormat="false" ht="15.75" hidden="false" customHeight="true" outlineLevel="0" collapsed="false">
      <c r="U565" s="34"/>
      <c r="V565" s="34"/>
      <c r="W565" s="34"/>
      <c r="X565" s="34"/>
    </row>
    <row r="566" customFormat="false" ht="15.75" hidden="false" customHeight="true" outlineLevel="0" collapsed="false">
      <c r="U566" s="34"/>
      <c r="V566" s="34"/>
      <c r="W566" s="34"/>
      <c r="X566" s="34"/>
    </row>
    <row r="567" customFormat="false" ht="15.75" hidden="false" customHeight="true" outlineLevel="0" collapsed="false">
      <c r="U567" s="34"/>
      <c r="V567" s="34"/>
      <c r="W567" s="34"/>
      <c r="X567" s="34"/>
    </row>
    <row r="568" customFormat="false" ht="15.75" hidden="false" customHeight="true" outlineLevel="0" collapsed="false">
      <c r="U568" s="34"/>
      <c r="V568" s="34"/>
      <c r="W568" s="34"/>
      <c r="X568" s="34"/>
    </row>
    <row r="569" customFormat="false" ht="15.75" hidden="false" customHeight="true" outlineLevel="0" collapsed="false">
      <c r="U569" s="34"/>
      <c r="V569" s="34"/>
      <c r="W569" s="34"/>
      <c r="X569" s="34"/>
    </row>
    <row r="570" customFormat="false" ht="15.75" hidden="false" customHeight="true" outlineLevel="0" collapsed="false">
      <c r="U570" s="34"/>
      <c r="V570" s="34"/>
      <c r="W570" s="34"/>
      <c r="X570" s="34"/>
    </row>
    <row r="571" customFormat="false" ht="15.75" hidden="false" customHeight="true" outlineLevel="0" collapsed="false">
      <c r="U571" s="34"/>
      <c r="V571" s="34"/>
      <c r="W571" s="34"/>
      <c r="X571" s="34"/>
    </row>
    <row r="572" customFormat="false" ht="15.75" hidden="false" customHeight="true" outlineLevel="0" collapsed="false">
      <c r="U572" s="34"/>
      <c r="V572" s="34"/>
      <c r="W572" s="34"/>
      <c r="X572" s="34"/>
    </row>
    <row r="573" customFormat="false" ht="15.75" hidden="false" customHeight="true" outlineLevel="0" collapsed="false">
      <c r="U573" s="34"/>
      <c r="V573" s="34"/>
      <c r="W573" s="34"/>
      <c r="X573" s="34"/>
    </row>
    <row r="574" customFormat="false" ht="15.75" hidden="false" customHeight="true" outlineLevel="0" collapsed="false">
      <c r="U574" s="34"/>
      <c r="V574" s="34"/>
      <c r="W574" s="34"/>
      <c r="X574" s="34"/>
    </row>
    <row r="575" customFormat="false" ht="15.75" hidden="false" customHeight="true" outlineLevel="0" collapsed="false">
      <c r="U575" s="34"/>
      <c r="V575" s="34"/>
      <c r="W575" s="34"/>
      <c r="X575" s="34"/>
    </row>
    <row r="576" customFormat="false" ht="15.75" hidden="false" customHeight="true" outlineLevel="0" collapsed="false">
      <c r="U576" s="34"/>
      <c r="V576" s="34"/>
      <c r="W576" s="34"/>
      <c r="X576" s="34"/>
    </row>
    <row r="577" customFormat="false" ht="15.75" hidden="false" customHeight="true" outlineLevel="0" collapsed="false">
      <c r="U577" s="34"/>
      <c r="V577" s="34"/>
      <c r="W577" s="34"/>
      <c r="X577" s="34"/>
    </row>
    <row r="578" customFormat="false" ht="15.75" hidden="false" customHeight="true" outlineLevel="0" collapsed="false">
      <c r="U578" s="34"/>
      <c r="V578" s="34"/>
      <c r="W578" s="34"/>
      <c r="X578" s="34"/>
    </row>
    <row r="579" customFormat="false" ht="15.75" hidden="false" customHeight="true" outlineLevel="0" collapsed="false">
      <c r="U579" s="34"/>
      <c r="V579" s="34"/>
      <c r="W579" s="34"/>
      <c r="X579" s="34"/>
    </row>
    <row r="580" customFormat="false" ht="15.75" hidden="false" customHeight="true" outlineLevel="0" collapsed="false">
      <c r="U580" s="34"/>
      <c r="V580" s="34"/>
      <c r="W580" s="34"/>
      <c r="X580" s="34"/>
    </row>
    <row r="581" customFormat="false" ht="15.75" hidden="false" customHeight="true" outlineLevel="0" collapsed="false">
      <c r="U581" s="34"/>
      <c r="V581" s="34"/>
      <c r="W581" s="34"/>
      <c r="X581" s="34"/>
    </row>
    <row r="582" customFormat="false" ht="15.75" hidden="false" customHeight="true" outlineLevel="0" collapsed="false">
      <c r="U582" s="34"/>
      <c r="V582" s="34"/>
      <c r="W582" s="34"/>
      <c r="X582" s="34"/>
    </row>
    <row r="583" customFormat="false" ht="15.75" hidden="false" customHeight="true" outlineLevel="0" collapsed="false">
      <c r="U583" s="34"/>
      <c r="V583" s="34"/>
      <c r="W583" s="34"/>
      <c r="X583" s="34"/>
    </row>
    <row r="584" customFormat="false" ht="15.75" hidden="false" customHeight="true" outlineLevel="0" collapsed="false">
      <c r="U584" s="34"/>
      <c r="V584" s="34"/>
      <c r="W584" s="34"/>
      <c r="X584" s="34"/>
    </row>
    <row r="585" customFormat="false" ht="15.75" hidden="false" customHeight="true" outlineLevel="0" collapsed="false">
      <c r="U585" s="34"/>
      <c r="V585" s="34"/>
      <c r="W585" s="34"/>
      <c r="X585" s="34"/>
    </row>
    <row r="586" customFormat="false" ht="15.75" hidden="false" customHeight="true" outlineLevel="0" collapsed="false">
      <c r="U586" s="34"/>
      <c r="V586" s="34"/>
      <c r="W586" s="34"/>
      <c r="X586" s="34"/>
    </row>
    <row r="587" customFormat="false" ht="15.75" hidden="false" customHeight="true" outlineLevel="0" collapsed="false">
      <c r="U587" s="34"/>
      <c r="V587" s="34"/>
      <c r="W587" s="34"/>
      <c r="X587" s="34"/>
    </row>
    <row r="588" customFormat="false" ht="15.75" hidden="false" customHeight="true" outlineLevel="0" collapsed="false">
      <c r="U588" s="34"/>
      <c r="V588" s="34"/>
      <c r="W588" s="34"/>
      <c r="X588" s="34"/>
    </row>
    <row r="589" customFormat="false" ht="15.75" hidden="false" customHeight="true" outlineLevel="0" collapsed="false">
      <c r="U589" s="34"/>
      <c r="V589" s="34"/>
      <c r="W589" s="34"/>
      <c r="X589" s="34"/>
    </row>
    <row r="590" customFormat="false" ht="15.75" hidden="false" customHeight="true" outlineLevel="0" collapsed="false">
      <c r="U590" s="34"/>
      <c r="V590" s="34"/>
      <c r="W590" s="34"/>
      <c r="X590" s="34"/>
    </row>
    <row r="591" customFormat="false" ht="15.75" hidden="false" customHeight="true" outlineLevel="0" collapsed="false">
      <c r="U591" s="34"/>
      <c r="V591" s="34"/>
      <c r="W591" s="34"/>
      <c r="X591" s="34"/>
    </row>
    <row r="592" customFormat="false" ht="15.75" hidden="false" customHeight="true" outlineLevel="0" collapsed="false">
      <c r="U592" s="34"/>
      <c r="V592" s="34"/>
      <c r="W592" s="34"/>
      <c r="X592" s="34"/>
    </row>
    <row r="593" customFormat="false" ht="15.75" hidden="false" customHeight="true" outlineLevel="0" collapsed="false">
      <c r="U593" s="34"/>
      <c r="V593" s="34"/>
      <c r="W593" s="34"/>
      <c r="X593" s="34"/>
    </row>
    <row r="594" customFormat="false" ht="15.75" hidden="false" customHeight="true" outlineLevel="0" collapsed="false">
      <c r="U594" s="34"/>
      <c r="V594" s="34"/>
      <c r="W594" s="34"/>
      <c r="X594" s="34"/>
    </row>
    <row r="595" customFormat="false" ht="15.75" hidden="false" customHeight="true" outlineLevel="0" collapsed="false">
      <c r="U595" s="34"/>
      <c r="V595" s="34"/>
      <c r="W595" s="34"/>
      <c r="X595" s="34"/>
    </row>
    <row r="596" customFormat="false" ht="15.75" hidden="false" customHeight="true" outlineLevel="0" collapsed="false">
      <c r="U596" s="34"/>
      <c r="V596" s="34"/>
      <c r="W596" s="34"/>
      <c r="X596" s="34"/>
    </row>
    <row r="597" customFormat="false" ht="15.75" hidden="false" customHeight="true" outlineLevel="0" collapsed="false">
      <c r="U597" s="34"/>
      <c r="V597" s="34"/>
      <c r="W597" s="34"/>
      <c r="X597" s="34"/>
    </row>
    <row r="598" customFormat="false" ht="15.75" hidden="false" customHeight="true" outlineLevel="0" collapsed="false">
      <c r="U598" s="34"/>
      <c r="V598" s="34"/>
      <c r="W598" s="34"/>
      <c r="X598" s="34"/>
    </row>
    <row r="599" customFormat="false" ht="15.75" hidden="false" customHeight="true" outlineLevel="0" collapsed="false">
      <c r="U599" s="34"/>
      <c r="V599" s="34"/>
      <c r="W599" s="34"/>
      <c r="X599" s="34"/>
    </row>
    <row r="600" customFormat="false" ht="15.75" hidden="false" customHeight="true" outlineLevel="0" collapsed="false">
      <c r="U600" s="34"/>
      <c r="V600" s="34"/>
      <c r="W600" s="34"/>
      <c r="X600" s="34"/>
    </row>
    <row r="601" customFormat="false" ht="15.75" hidden="false" customHeight="true" outlineLevel="0" collapsed="false">
      <c r="U601" s="34"/>
      <c r="V601" s="34"/>
      <c r="W601" s="34"/>
      <c r="X601" s="34"/>
    </row>
    <row r="602" customFormat="false" ht="15.75" hidden="false" customHeight="true" outlineLevel="0" collapsed="false">
      <c r="U602" s="34"/>
      <c r="V602" s="34"/>
      <c r="W602" s="34"/>
      <c r="X602" s="34"/>
    </row>
    <row r="603" customFormat="false" ht="15.75" hidden="false" customHeight="true" outlineLevel="0" collapsed="false">
      <c r="U603" s="34"/>
      <c r="V603" s="34"/>
      <c r="W603" s="34"/>
      <c r="X603" s="34"/>
    </row>
    <row r="604" customFormat="false" ht="15.75" hidden="false" customHeight="true" outlineLevel="0" collapsed="false">
      <c r="U604" s="34"/>
      <c r="V604" s="34"/>
      <c r="W604" s="34"/>
      <c r="X604" s="34"/>
    </row>
    <row r="605" customFormat="false" ht="15.75" hidden="false" customHeight="true" outlineLevel="0" collapsed="false">
      <c r="U605" s="34"/>
      <c r="V605" s="34"/>
      <c r="W605" s="34"/>
      <c r="X605" s="34"/>
    </row>
    <row r="606" customFormat="false" ht="15.75" hidden="false" customHeight="true" outlineLevel="0" collapsed="false">
      <c r="U606" s="34"/>
      <c r="V606" s="34"/>
      <c r="W606" s="34"/>
      <c r="X606" s="34"/>
    </row>
    <row r="607" customFormat="false" ht="15.75" hidden="false" customHeight="true" outlineLevel="0" collapsed="false">
      <c r="U607" s="34"/>
      <c r="V607" s="34"/>
      <c r="W607" s="34"/>
      <c r="X607" s="34"/>
    </row>
    <row r="608" customFormat="false" ht="15.75" hidden="false" customHeight="true" outlineLevel="0" collapsed="false">
      <c r="U608" s="34"/>
      <c r="V608" s="34"/>
      <c r="W608" s="34"/>
      <c r="X608" s="34"/>
    </row>
    <row r="609" customFormat="false" ht="15.75" hidden="false" customHeight="true" outlineLevel="0" collapsed="false">
      <c r="U609" s="34"/>
      <c r="V609" s="34"/>
      <c r="W609" s="34"/>
      <c r="X609" s="34"/>
    </row>
    <row r="610" customFormat="false" ht="15.75" hidden="false" customHeight="true" outlineLevel="0" collapsed="false">
      <c r="U610" s="34"/>
      <c r="V610" s="34"/>
      <c r="W610" s="34"/>
      <c r="X610" s="34"/>
    </row>
    <row r="611" customFormat="false" ht="15.75" hidden="false" customHeight="true" outlineLevel="0" collapsed="false">
      <c r="U611" s="34"/>
      <c r="V611" s="34"/>
      <c r="W611" s="34"/>
      <c r="X611" s="34"/>
    </row>
    <row r="612" customFormat="false" ht="15.75" hidden="false" customHeight="true" outlineLevel="0" collapsed="false">
      <c r="U612" s="34"/>
      <c r="V612" s="34"/>
      <c r="W612" s="34"/>
      <c r="X612" s="34"/>
    </row>
    <row r="613" customFormat="false" ht="15.75" hidden="false" customHeight="true" outlineLevel="0" collapsed="false">
      <c r="U613" s="34"/>
      <c r="V613" s="34"/>
      <c r="W613" s="34"/>
      <c r="X613" s="34"/>
    </row>
    <row r="614" customFormat="false" ht="15.75" hidden="false" customHeight="true" outlineLevel="0" collapsed="false">
      <c r="U614" s="34"/>
      <c r="V614" s="34"/>
      <c r="W614" s="34"/>
      <c r="X614" s="34"/>
    </row>
    <row r="615" customFormat="false" ht="15.75" hidden="false" customHeight="true" outlineLevel="0" collapsed="false">
      <c r="U615" s="34"/>
      <c r="V615" s="34"/>
      <c r="W615" s="34"/>
      <c r="X615" s="34"/>
    </row>
    <row r="616" customFormat="false" ht="15.75" hidden="false" customHeight="true" outlineLevel="0" collapsed="false">
      <c r="U616" s="34"/>
      <c r="V616" s="34"/>
      <c r="W616" s="34"/>
      <c r="X616" s="34"/>
    </row>
    <row r="617" customFormat="false" ht="15.75" hidden="false" customHeight="true" outlineLevel="0" collapsed="false">
      <c r="U617" s="34"/>
      <c r="V617" s="34"/>
      <c r="W617" s="34"/>
      <c r="X617" s="34"/>
    </row>
    <row r="618" customFormat="false" ht="15.75" hidden="false" customHeight="true" outlineLevel="0" collapsed="false">
      <c r="U618" s="34"/>
      <c r="V618" s="34"/>
      <c r="W618" s="34"/>
      <c r="X618" s="34"/>
    </row>
    <row r="619" customFormat="false" ht="15.75" hidden="false" customHeight="true" outlineLevel="0" collapsed="false">
      <c r="U619" s="34"/>
      <c r="V619" s="34"/>
      <c r="W619" s="34"/>
      <c r="X619" s="34"/>
    </row>
    <row r="620" customFormat="false" ht="15.75" hidden="false" customHeight="true" outlineLevel="0" collapsed="false">
      <c r="U620" s="34"/>
      <c r="V620" s="34"/>
      <c r="W620" s="34"/>
      <c r="X620" s="34"/>
    </row>
    <row r="621" customFormat="false" ht="15.75" hidden="false" customHeight="true" outlineLevel="0" collapsed="false">
      <c r="U621" s="34"/>
      <c r="V621" s="34"/>
      <c r="W621" s="34"/>
      <c r="X621" s="34"/>
    </row>
    <row r="622" customFormat="false" ht="15.75" hidden="false" customHeight="true" outlineLevel="0" collapsed="false">
      <c r="U622" s="34"/>
      <c r="V622" s="34"/>
      <c r="W622" s="34"/>
      <c r="X622" s="34"/>
    </row>
    <row r="623" customFormat="false" ht="15.75" hidden="false" customHeight="true" outlineLevel="0" collapsed="false">
      <c r="U623" s="34"/>
      <c r="V623" s="34"/>
      <c r="W623" s="34"/>
      <c r="X623" s="34"/>
    </row>
    <row r="624" customFormat="false" ht="15.75" hidden="false" customHeight="true" outlineLevel="0" collapsed="false">
      <c r="U624" s="34"/>
      <c r="V624" s="34"/>
      <c r="W624" s="34"/>
      <c r="X624" s="34"/>
    </row>
    <row r="625" customFormat="false" ht="15.75" hidden="false" customHeight="true" outlineLevel="0" collapsed="false">
      <c r="U625" s="34"/>
      <c r="V625" s="34"/>
      <c r="W625" s="34"/>
      <c r="X625" s="34"/>
    </row>
    <row r="626" customFormat="false" ht="15.75" hidden="false" customHeight="true" outlineLevel="0" collapsed="false">
      <c r="U626" s="34"/>
      <c r="V626" s="34"/>
      <c r="W626" s="34"/>
      <c r="X626" s="34"/>
    </row>
    <row r="627" customFormat="false" ht="15.75" hidden="false" customHeight="true" outlineLevel="0" collapsed="false">
      <c r="U627" s="34"/>
      <c r="V627" s="34"/>
      <c r="W627" s="34"/>
      <c r="X627" s="34"/>
    </row>
    <row r="628" customFormat="false" ht="15.75" hidden="false" customHeight="true" outlineLevel="0" collapsed="false">
      <c r="U628" s="34"/>
      <c r="V628" s="34"/>
      <c r="W628" s="34"/>
      <c r="X628" s="34"/>
    </row>
    <row r="629" customFormat="false" ht="15.75" hidden="false" customHeight="true" outlineLevel="0" collapsed="false">
      <c r="U629" s="34"/>
      <c r="V629" s="34"/>
      <c r="W629" s="34"/>
      <c r="X629" s="34"/>
    </row>
    <row r="630" customFormat="false" ht="15.75" hidden="false" customHeight="true" outlineLevel="0" collapsed="false">
      <c r="U630" s="34"/>
      <c r="V630" s="34"/>
      <c r="W630" s="34"/>
      <c r="X630" s="34"/>
    </row>
    <row r="631" customFormat="false" ht="15.75" hidden="false" customHeight="true" outlineLevel="0" collapsed="false">
      <c r="U631" s="34"/>
      <c r="V631" s="34"/>
      <c r="W631" s="34"/>
      <c r="X631" s="34"/>
    </row>
    <row r="632" customFormat="false" ht="15.75" hidden="false" customHeight="true" outlineLevel="0" collapsed="false">
      <c r="U632" s="34"/>
      <c r="V632" s="34"/>
      <c r="W632" s="34"/>
      <c r="X632" s="34"/>
    </row>
    <row r="633" customFormat="false" ht="15.75" hidden="false" customHeight="true" outlineLevel="0" collapsed="false">
      <c r="U633" s="34"/>
      <c r="V633" s="34"/>
      <c r="W633" s="34"/>
      <c r="X633" s="34"/>
    </row>
    <row r="634" customFormat="false" ht="15.75" hidden="false" customHeight="true" outlineLevel="0" collapsed="false">
      <c r="U634" s="34"/>
      <c r="V634" s="34"/>
      <c r="W634" s="34"/>
      <c r="X634" s="34"/>
    </row>
    <row r="635" customFormat="false" ht="15.75" hidden="false" customHeight="true" outlineLevel="0" collapsed="false">
      <c r="U635" s="34"/>
      <c r="V635" s="34"/>
      <c r="W635" s="34"/>
      <c r="X635" s="34"/>
    </row>
    <row r="636" customFormat="false" ht="15.75" hidden="false" customHeight="true" outlineLevel="0" collapsed="false">
      <c r="U636" s="34"/>
      <c r="V636" s="34"/>
      <c r="W636" s="34"/>
      <c r="X636" s="34"/>
    </row>
    <row r="637" customFormat="false" ht="15.75" hidden="false" customHeight="true" outlineLevel="0" collapsed="false">
      <c r="U637" s="34"/>
      <c r="V637" s="34"/>
      <c r="W637" s="34"/>
      <c r="X637" s="34"/>
    </row>
    <row r="638" customFormat="false" ht="15.75" hidden="false" customHeight="true" outlineLevel="0" collapsed="false">
      <c r="U638" s="34"/>
      <c r="V638" s="34"/>
      <c r="W638" s="34"/>
      <c r="X638" s="34"/>
    </row>
    <row r="639" customFormat="false" ht="15.75" hidden="false" customHeight="true" outlineLevel="0" collapsed="false">
      <c r="U639" s="34"/>
      <c r="V639" s="34"/>
      <c r="W639" s="34"/>
      <c r="X639" s="34"/>
    </row>
    <row r="640" customFormat="false" ht="15.75" hidden="false" customHeight="true" outlineLevel="0" collapsed="false">
      <c r="U640" s="34"/>
      <c r="V640" s="34"/>
      <c r="W640" s="34"/>
      <c r="X640" s="34"/>
    </row>
    <row r="641" customFormat="false" ht="15.75" hidden="false" customHeight="true" outlineLevel="0" collapsed="false">
      <c r="U641" s="34"/>
      <c r="V641" s="34"/>
      <c r="W641" s="34"/>
      <c r="X641" s="34"/>
    </row>
    <row r="642" customFormat="false" ht="15.75" hidden="false" customHeight="true" outlineLevel="0" collapsed="false">
      <c r="U642" s="34"/>
      <c r="V642" s="34"/>
      <c r="W642" s="34"/>
      <c r="X642" s="34"/>
    </row>
    <row r="643" customFormat="false" ht="15.75" hidden="false" customHeight="true" outlineLevel="0" collapsed="false">
      <c r="U643" s="34"/>
      <c r="V643" s="34"/>
      <c r="W643" s="34"/>
      <c r="X643" s="34"/>
    </row>
    <row r="644" customFormat="false" ht="15.75" hidden="false" customHeight="true" outlineLevel="0" collapsed="false">
      <c r="U644" s="34"/>
      <c r="V644" s="34"/>
      <c r="W644" s="34"/>
      <c r="X644" s="34"/>
    </row>
    <row r="645" customFormat="false" ht="15.75" hidden="false" customHeight="true" outlineLevel="0" collapsed="false">
      <c r="U645" s="34"/>
      <c r="V645" s="34"/>
      <c r="W645" s="34"/>
      <c r="X645" s="34"/>
    </row>
    <row r="646" customFormat="false" ht="15.75" hidden="false" customHeight="true" outlineLevel="0" collapsed="false">
      <c r="U646" s="34"/>
      <c r="V646" s="34"/>
      <c r="W646" s="34"/>
      <c r="X646" s="34"/>
    </row>
    <row r="647" customFormat="false" ht="15.75" hidden="false" customHeight="true" outlineLevel="0" collapsed="false">
      <c r="U647" s="34"/>
      <c r="V647" s="34"/>
      <c r="W647" s="34"/>
      <c r="X647" s="34"/>
    </row>
    <row r="648" customFormat="false" ht="15.75" hidden="false" customHeight="true" outlineLevel="0" collapsed="false">
      <c r="U648" s="34"/>
      <c r="V648" s="34"/>
      <c r="W648" s="34"/>
      <c r="X648" s="34"/>
    </row>
    <row r="649" customFormat="false" ht="15.75" hidden="false" customHeight="true" outlineLevel="0" collapsed="false">
      <c r="U649" s="34"/>
      <c r="V649" s="34"/>
      <c r="W649" s="34"/>
      <c r="X649" s="34"/>
    </row>
    <row r="650" customFormat="false" ht="15.75" hidden="false" customHeight="true" outlineLevel="0" collapsed="false">
      <c r="U650" s="34"/>
      <c r="V650" s="34"/>
      <c r="W650" s="34"/>
      <c r="X650" s="34"/>
    </row>
    <row r="651" customFormat="false" ht="15.75" hidden="false" customHeight="true" outlineLevel="0" collapsed="false">
      <c r="U651" s="34"/>
      <c r="V651" s="34"/>
      <c r="W651" s="34"/>
      <c r="X651" s="34"/>
    </row>
    <row r="652" customFormat="false" ht="15.75" hidden="false" customHeight="true" outlineLevel="0" collapsed="false">
      <c r="U652" s="34"/>
      <c r="V652" s="34"/>
      <c r="W652" s="34"/>
      <c r="X652" s="34"/>
    </row>
    <row r="653" customFormat="false" ht="15.75" hidden="false" customHeight="true" outlineLevel="0" collapsed="false">
      <c r="U653" s="34"/>
      <c r="V653" s="34"/>
      <c r="W653" s="34"/>
      <c r="X653" s="34"/>
    </row>
    <row r="654" customFormat="false" ht="15.75" hidden="false" customHeight="true" outlineLevel="0" collapsed="false">
      <c r="U654" s="34"/>
      <c r="V654" s="34"/>
      <c r="W654" s="34"/>
      <c r="X654" s="34"/>
    </row>
    <row r="655" customFormat="false" ht="15.75" hidden="false" customHeight="true" outlineLevel="0" collapsed="false">
      <c r="U655" s="34"/>
      <c r="V655" s="34"/>
      <c r="W655" s="34"/>
      <c r="X655" s="34"/>
    </row>
    <row r="656" customFormat="false" ht="15.75" hidden="false" customHeight="true" outlineLevel="0" collapsed="false">
      <c r="U656" s="34"/>
      <c r="V656" s="34"/>
      <c r="W656" s="34"/>
      <c r="X656" s="34"/>
    </row>
    <row r="657" customFormat="false" ht="15.75" hidden="false" customHeight="true" outlineLevel="0" collapsed="false">
      <c r="U657" s="34"/>
      <c r="V657" s="34"/>
      <c r="W657" s="34"/>
      <c r="X657" s="34"/>
    </row>
    <row r="658" customFormat="false" ht="15.75" hidden="false" customHeight="true" outlineLevel="0" collapsed="false">
      <c r="U658" s="34"/>
      <c r="V658" s="34"/>
      <c r="W658" s="34"/>
      <c r="X658" s="34"/>
    </row>
    <row r="659" customFormat="false" ht="15.75" hidden="false" customHeight="true" outlineLevel="0" collapsed="false">
      <c r="U659" s="34"/>
      <c r="V659" s="34"/>
      <c r="W659" s="34"/>
      <c r="X659" s="34"/>
    </row>
    <row r="660" customFormat="false" ht="15.75" hidden="false" customHeight="true" outlineLevel="0" collapsed="false">
      <c r="U660" s="34"/>
      <c r="V660" s="34"/>
      <c r="W660" s="34"/>
      <c r="X660" s="34"/>
    </row>
    <row r="661" customFormat="false" ht="15.75" hidden="false" customHeight="true" outlineLevel="0" collapsed="false">
      <c r="U661" s="34"/>
      <c r="V661" s="34"/>
      <c r="W661" s="34"/>
      <c r="X661" s="34"/>
    </row>
    <row r="662" customFormat="false" ht="15.75" hidden="false" customHeight="true" outlineLevel="0" collapsed="false">
      <c r="U662" s="34"/>
      <c r="V662" s="34"/>
      <c r="W662" s="34"/>
      <c r="X662" s="34"/>
    </row>
    <row r="663" customFormat="false" ht="15.75" hidden="false" customHeight="true" outlineLevel="0" collapsed="false">
      <c r="U663" s="34"/>
      <c r="V663" s="34"/>
      <c r="W663" s="34"/>
      <c r="X663" s="34"/>
    </row>
    <row r="664" customFormat="false" ht="15.75" hidden="false" customHeight="true" outlineLevel="0" collapsed="false">
      <c r="U664" s="34"/>
      <c r="V664" s="34"/>
      <c r="W664" s="34"/>
      <c r="X664" s="34"/>
    </row>
    <row r="665" customFormat="false" ht="15.75" hidden="false" customHeight="true" outlineLevel="0" collapsed="false">
      <c r="U665" s="34"/>
      <c r="V665" s="34"/>
      <c r="W665" s="34"/>
      <c r="X665" s="34"/>
    </row>
    <row r="666" customFormat="false" ht="15.75" hidden="false" customHeight="true" outlineLevel="0" collapsed="false">
      <c r="U666" s="34"/>
      <c r="V666" s="34"/>
      <c r="W666" s="34"/>
      <c r="X666" s="34"/>
    </row>
    <row r="667" customFormat="false" ht="15.75" hidden="false" customHeight="true" outlineLevel="0" collapsed="false">
      <c r="U667" s="34"/>
      <c r="V667" s="34"/>
      <c r="W667" s="34"/>
      <c r="X667" s="34"/>
    </row>
    <row r="668" customFormat="false" ht="15.75" hidden="false" customHeight="true" outlineLevel="0" collapsed="false">
      <c r="U668" s="34"/>
      <c r="V668" s="34"/>
      <c r="W668" s="34"/>
      <c r="X668" s="34"/>
    </row>
    <row r="669" customFormat="false" ht="15.75" hidden="false" customHeight="true" outlineLevel="0" collapsed="false">
      <c r="U669" s="34"/>
      <c r="V669" s="34"/>
      <c r="W669" s="34"/>
      <c r="X669" s="34"/>
    </row>
    <row r="670" customFormat="false" ht="15.75" hidden="false" customHeight="true" outlineLevel="0" collapsed="false">
      <c r="U670" s="34"/>
      <c r="V670" s="34"/>
      <c r="W670" s="34"/>
      <c r="X670" s="34"/>
    </row>
    <row r="671" customFormat="false" ht="15.75" hidden="false" customHeight="true" outlineLevel="0" collapsed="false">
      <c r="U671" s="34"/>
      <c r="V671" s="34"/>
      <c r="W671" s="34"/>
      <c r="X671" s="34"/>
    </row>
    <row r="672" customFormat="false" ht="15.75" hidden="false" customHeight="true" outlineLevel="0" collapsed="false">
      <c r="U672" s="34"/>
      <c r="V672" s="34"/>
      <c r="W672" s="34"/>
      <c r="X672" s="34"/>
    </row>
    <row r="673" customFormat="false" ht="15.75" hidden="false" customHeight="true" outlineLevel="0" collapsed="false">
      <c r="U673" s="34"/>
      <c r="V673" s="34"/>
      <c r="W673" s="34"/>
      <c r="X673" s="34"/>
    </row>
    <row r="674" customFormat="false" ht="15.75" hidden="false" customHeight="true" outlineLevel="0" collapsed="false">
      <c r="U674" s="34"/>
      <c r="V674" s="34"/>
      <c r="W674" s="34"/>
      <c r="X674" s="34"/>
    </row>
    <row r="675" customFormat="false" ht="15.75" hidden="false" customHeight="true" outlineLevel="0" collapsed="false">
      <c r="U675" s="34"/>
      <c r="V675" s="34"/>
      <c r="W675" s="34"/>
      <c r="X675" s="34"/>
    </row>
    <row r="676" customFormat="false" ht="15.75" hidden="false" customHeight="true" outlineLevel="0" collapsed="false">
      <c r="U676" s="34"/>
      <c r="V676" s="34"/>
      <c r="W676" s="34"/>
      <c r="X676" s="34"/>
    </row>
    <row r="677" customFormat="false" ht="15.75" hidden="false" customHeight="true" outlineLevel="0" collapsed="false">
      <c r="U677" s="34"/>
      <c r="V677" s="34"/>
      <c r="W677" s="34"/>
      <c r="X677" s="34"/>
    </row>
    <row r="678" customFormat="false" ht="15.75" hidden="false" customHeight="true" outlineLevel="0" collapsed="false">
      <c r="U678" s="34"/>
      <c r="V678" s="34"/>
      <c r="W678" s="34"/>
      <c r="X678" s="34"/>
    </row>
    <row r="679" customFormat="false" ht="15.75" hidden="false" customHeight="true" outlineLevel="0" collapsed="false">
      <c r="U679" s="34"/>
      <c r="V679" s="34"/>
      <c r="W679" s="34"/>
      <c r="X679" s="34"/>
    </row>
    <row r="680" customFormat="false" ht="15.75" hidden="false" customHeight="true" outlineLevel="0" collapsed="false">
      <c r="U680" s="34"/>
      <c r="V680" s="34"/>
      <c r="W680" s="34"/>
      <c r="X680" s="34"/>
    </row>
    <row r="681" customFormat="false" ht="15.75" hidden="false" customHeight="true" outlineLevel="0" collapsed="false">
      <c r="U681" s="34"/>
      <c r="V681" s="34"/>
      <c r="W681" s="34"/>
      <c r="X681" s="34"/>
    </row>
    <row r="682" customFormat="false" ht="15.75" hidden="false" customHeight="true" outlineLevel="0" collapsed="false">
      <c r="U682" s="34"/>
      <c r="V682" s="34"/>
      <c r="W682" s="34"/>
      <c r="X682" s="34"/>
    </row>
    <row r="683" customFormat="false" ht="15.75" hidden="false" customHeight="true" outlineLevel="0" collapsed="false">
      <c r="U683" s="34"/>
      <c r="V683" s="34"/>
      <c r="W683" s="34"/>
      <c r="X683" s="34"/>
    </row>
    <row r="684" customFormat="false" ht="15.75" hidden="false" customHeight="true" outlineLevel="0" collapsed="false">
      <c r="U684" s="34"/>
      <c r="V684" s="34"/>
      <c r="W684" s="34"/>
      <c r="X684" s="34"/>
    </row>
    <row r="685" customFormat="false" ht="15.75" hidden="false" customHeight="true" outlineLevel="0" collapsed="false">
      <c r="U685" s="34"/>
      <c r="V685" s="34"/>
      <c r="W685" s="34"/>
      <c r="X685" s="34"/>
    </row>
    <row r="686" customFormat="false" ht="15.75" hidden="false" customHeight="true" outlineLevel="0" collapsed="false">
      <c r="U686" s="34"/>
      <c r="V686" s="34"/>
      <c r="W686" s="34"/>
      <c r="X686" s="34"/>
    </row>
    <row r="687" customFormat="false" ht="15.75" hidden="false" customHeight="true" outlineLevel="0" collapsed="false">
      <c r="U687" s="34"/>
      <c r="V687" s="34"/>
      <c r="W687" s="34"/>
      <c r="X687" s="34"/>
    </row>
    <row r="688" customFormat="false" ht="15.75" hidden="false" customHeight="true" outlineLevel="0" collapsed="false">
      <c r="U688" s="34"/>
      <c r="V688" s="34"/>
      <c r="W688" s="34"/>
      <c r="X688" s="34"/>
    </row>
    <row r="689" customFormat="false" ht="15.75" hidden="false" customHeight="true" outlineLevel="0" collapsed="false">
      <c r="U689" s="34"/>
      <c r="V689" s="34"/>
      <c r="W689" s="34"/>
      <c r="X689" s="34"/>
    </row>
    <row r="690" customFormat="false" ht="15.75" hidden="false" customHeight="true" outlineLevel="0" collapsed="false">
      <c r="U690" s="34"/>
      <c r="V690" s="34"/>
      <c r="W690" s="34"/>
      <c r="X690" s="34"/>
    </row>
    <row r="691" customFormat="false" ht="15.75" hidden="false" customHeight="true" outlineLevel="0" collapsed="false">
      <c r="U691" s="34"/>
      <c r="V691" s="34"/>
      <c r="W691" s="34"/>
      <c r="X691" s="34"/>
    </row>
    <row r="692" customFormat="false" ht="15.75" hidden="false" customHeight="true" outlineLevel="0" collapsed="false">
      <c r="U692" s="34"/>
      <c r="V692" s="34"/>
      <c r="W692" s="34"/>
      <c r="X692" s="34"/>
    </row>
    <row r="693" customFormat="false" ht="15.75" hidden="false" customHeight="true" outlineLevel="0" collapsed="false">
      <c r="U693" s="34"/>
      <c r="V693" s="34"/>
      <c r="W693" s="34"/>
      <c r="X693" s="34"/>
    </row>
    <row r="694" customFormat="false" ht="15.75" hidden="false" customHeight="true" outlineLevel="0" collapsed="false">
      <c r="U694" s="34"/>
      <c r="V694" s="34"/>
      <c r="W694" s="34"/>
      <c r="X694" s="34"/>
    </row>
    <row r="695" customFormat="false" ht="15.75" hidden="false" customHeight="true" outlineLevel="0" collapsed="false">
      <c r="U695" s="34"/>
      <c r="V695" s="34"/>
      <c r="W695" s="34"/>
      <c r="X695" s="34"/>
    </row>
    <row r="696" customFormat="false" ht="15.75" hidden="false" customHeight="true" outlineLevel="0" collapsed="false">
      <c r="U696" s="34"/>
      <c r="V696" s="34"/>
      <c r="W696" s="34"/>
      <c r="X696" s="34"/>
    </row>
    <row r="697" customFormat="false" ht="15.75" hidden="false" customHeight="true" outlineLevel="0" collapsed="false">
      <c r="U697" s="34"/>
      <c r="V697" s="34"/>
      <c r="W697" s="34"/>
      <c r="X697" s="34"/>
    </row>
    <row r="698" customFormat="false" ht="15.75" hidden="false" customHeight="true" outlineLevel="0" collapsed="false">
      <c r="U698" s="34"/>
      <c r="V698" s="34"/>
      <c r="W698" s="34"/>
      <c r="X698" s="34"/>
    </row>
    <row r="699" customFormat="false" ht="15.75" hidden="false" customHeight="true" outlineLevel="0" collapsed="false">
      <c r="U699" s="34"/>
      <c r="V699" s="34"/>
      <c r="W699" s="34"/>
      <c r="X699" s="34"/>
    </row>
    <row r="700" customFormat="false" ht="15.75" hidden="false" customHeight="true" outlineLevel="0" collapsed="false">
      <c r="U700" s="34"/>
      <c r="V700" s="34"/>
      <c r="W700" s="34"/>
      <c r="X700" s="34"/>
    </row>
    <row r="701" customFormat="false" ht="15.75" hidden="false" customHeight="true" outlineLevel="0" collapsed="false">
      <c r="U701" s="34"/>
      <c r="V701" s="34"/>
      <c r="W701" s="34"/>
      <c r="X701" s="34"/>
    </row>
    <row r="702" customFormat="false" ht="15.75" hidden="false" customHeight="true" outlineLevel="0" collapsed="false">
      <c r="U702" s="34"/>
      <c r="V702" s="34"/>
      <c r="W702" s="34"/>
      <c r="X702" s="34"/>
    </row>
    <row r="703" customFormat="false" ht="15.75" hidden="false" customHeight="true" outlineLevel="0" collapsed="false">
      <c r="U703" s="34"/>
      <c r="V703" s="34"/>
      <c r="W703" s="34"/>
      <c r="X703" s="34"/>
    </row>
    <row r="704" customFormat="false" ht="15.75" hidden="false" customHeight="true" outlineLevel="0" collapsed="false">
      <c r="U704" s="34"/>
      <c r="V704" s="34"/>
      <c r="W704" s="34"/>
      <c r="X704" s="34"/>
    </row>
    <row r="705" customFormat="false" ht="15.75" hidden="false" customHeight="true" outlineLevel="0" collapsed="false">
      <c r="U705" s="34"/>
      <c r="V705" s="34"/>
      <c r="W705" s="34"/>
      <c r="X705" s="34"/>
    </row>
    <row r="706" customFormat="false" ht="15.75" hidden="false" customHeight="true" outlineLevel="0" collapsed="false">
      <c r="U706" s="34"/>
      <c r="V706" s="34"/>
      <c r="W706" s="34"/>
      <c r="X706" s="34"/>
    </row>
    <row r="707" customFormat="false" ht="15.75" hidden="false" customHeight="true" outlineLevel="0" collapsed="false">
      <c r="U707" s="34"/>
      <c r="V707" s="34"/>
      <c r="W707" s="34"/>
      <c r="X707" s="34"/>
    </row>
    <row r="708" customFormat="false" ht="15.75" hidden="false" customHeight="true" outlineLevel="0" collapsed="false">
      <c r="U708" s="34"/>
      <c r="V708" s="34"/>
      <c r="W708" s="34"/>
      <c r="X708" s="34"/>
    </row>
    <row r="709" customFormat="false" ht="15.75" hidden="false" customHeight="true" outlineLevel="0" collapsed="false">
      <c r="U709" s="34"/>
      <c r="V709" s="34"/>
      <c r="W709" s="34"/>
      <c r="X709" s="34"/>
    </row>
    <row r="710" customFormat="false" ht="15.75" hidden="false" customHeight="true" outlineLevel="0" collapsed="false">
      <c r="U710" s="34"/>
      <c r="V710" s="34"/>
      <c r="W710" s="34"/>
      <c r="X710" s="34"/>
    </row>
    <row r="711" customFormat="false" ht="15.75" hidden="false" customHeight="true" outlineLevel="0" collapsed="false">
      <c r="U711" s="34"/>
      <c r="V711" s="34"/>
      <c r="W711" s="34"/>
      <c r="X711" s="34"/>
    </row>
    <row r="712" customFormat="false" ht="15.75" hidden="false" customHeight="true" outlineLevel="0" collapsed="false">
      <c r="U712" s="34"/>
      <c r="V712" s="34"/>
      <c r="W712" s="34"/>
      <c r="X712" s="34"/>
    </row>
    <row r="713" customFormat="false" ht="15.75" hidden="false" customHeight="true" outlineLevel="0" collapsed="false">
      <c r="U713" s="34"/>
      <c r="V713" s="34"/>
      <c r="W713" s="34"/>
      <c r="X713" s="34"/>
    </row>
    <row r="714" customFormat="false" ht="15.75" hidden="false" customHeight="true" outlineLevel="0" collapsed="false">
      <c r="U714" s="34"/>
      <c r="V714" s="34"/>
      <c r="W714" s="34"/>
      <c r="X714" s="34"/>
    </row>
    <row r="715" customFormat="false" ht="15.75" hidden="false" customHeight="true" outlineLevel="0" collapsed="false">
      <c r="U715" s="34"/>
      <c r="V715" s="34"/>
      <c r="W715" s="34"/>
      <c r="X715" s="34"/>
    </row>
    <row r="716" customFormat="false" ht="15.75" hidden="false" customHeight="true" outlineLevel="0" collapsed="false">
      <c r="U716" s="34"/>
      <c r="V716" s="34"/>
      <c r="W716" s="34"/>
      <c r="X716" s="34"/>
    </row>
    <row r="717" customFormat="false" ht="15.75" hidden="false" customHeight="true" outlineLevel="0" collapsed="false">
      <c r="U717" s="34"/>
      <c r="V717" s="34"/>
      <c r="W717" s="34"/>
      <c r="X717" s="34"/>
    </row>
    <row r="718" customFormat="false" ht="15.75" hidden="false" customHeight="true" outlineLevel="0" collapsed="false">
      <c r="U718" s="34"/>
      <c r="V718" s="34"/>
      <c r="W718" s="34"/>
      <c r="X718" s="34"/>
    </row>
    <row r="719" customFormat="false" ht="15.75" hidden="false" customHeight="true" outlineLevel="0" collapsed="false">
      <c r="U719" s="34"/>
      <c r="V719" s="34"/>
      <c r="W719" s="34"/>
      <c r="X719" s="34"/>
    </row>
    <row r="720" customFormat="false" ht="15.75" hidden="false" customHeight="true" outlineLevel="0" collapsed="false">
      <c r="U720" s="34"/>
      <c r="V720" s="34"/>
      <c r="W720" s="34"/>
      <c r="X720" s="34"/>
    </row>
    <row r="721" customFormat="false" ht="15.75" hidden="false" customHeight="true" outlineLevel="0" collapsed="false">
      <c r="U721" s="34"/>
      <c r="V721" s="34"/>
      <c r="W721" s="34"/>
      <c r="X721" s="34"/>
    </row>
    <row r="722" customFormat="false" ht="15.75" hidden="false" customHeight="true" outlineLevel="0" collapsed="false">
      <c r="U722" s="34"/>
      <c r="V722" s="34"/>
      <c r="W722" s="34"/>
      <c r="X722" s="34"/>
    </row>
    <row r="723" customFormat="false" ht="15.75" hidden="false" customHeight="true" outlineLevel="0" collapsed="false">
      <c r="U723" s="34"/>
      <c r="V723" s="34"/>
      <c r="W723" s="34"/>
      <c r="X723" s="34"/>
    </row>
    <row r="724" customFormat="false" ht="15.75" hidden="false" customHeight="true" outlineLevel="0" collapsed="false">
      <c r="U724" s="34"/>
      <c r="V724" s="34"/>
      <c r="W724" s="34"/>
      <c r="X724" s="34"/>
    </row>
    <row r="725" customFormat="false" ht="15.75" hidden="false" customHeight="true" outlineLevel="0" collapsed="false">
      <c r="U725" s="34"/>
      <c r="V725" s="34"/>
      <c r="W725" s="34"/>
      <c r="X725" s="34"/>
    </row>
    <row r="726" customFormat="false" ht="15.75" hidden="false" customHeight="true" outlineLevel="0" collapsed="false">
      <c r="U726" s="34"/>
      <c r="V726" s="34"/>
      <c r="W726" s="34"/>
      <c r="X726" s="34"/>
    </row>
    <row r="727" customFormat="false" ht="15.75" hidden="false" customHeight="true" outlineLevel="0" collapsed="false">
      <c r="U727" s="34"/>
      <c r="V727" s="34"/>
      <c r="W727" s="34"/>
      <c r="X727" s="34"/>
    </row>
    <row r="728" customFormat="false" ht="15.75" hidden="false" customHeight="true" outlineLevel="0" collapsed="false">
      <c r="U728" s="34"/>
      <c r="V728" s="34"/>
      <c r="W728" s="34"/>
      <c r="X728" s="34"/>
    </row>
    <row r="729" customFormat="false" ht="15.75" hidden="false" customHeight="true" outlineLevel="0" collapsed="false">
      <c r="U729" s="34"/>
      <c r="V729" s="34"/>
      <c r="W729" s="34"/>
      <c r="X729" s="34"/>
    </row>
    <row r="730" customFormat="false" ht="15.75" hidden="false" customHeight="true" outlineLevel="0" collapsed="false">
      <c r="U730" s="34"/>
      <c r="V730" s="34"/>
      <c r="W730" s="34"/>
      <c r="X730" s="34"/>
    </row>
    <row r="731" customFormat="false" ht="15.75" hidden="false" customHeight="true" outlineLevel="0" collapsed="false">
      <c r="U731" s="34"/>
      <c r="V731" s="34"/>
      <c r="W731" s="34"/>
      <c r="X731" s="34"/>
    </row>
    <row r="732" customFormat="false" ht="15.75" hidden="false" customHeight="true" outlineLevel="0" collapsed="false">
      <c r="U732" s="34"/>
      <c r="V732" s="34"/>
      <c r="W732" s="34"/>
      <c r="X732" s="34"/>
    </row>
    <row r="733" customFormat="false" ht="15.75" hidden="false" customHeight="true" outlineLevel="0" collapsed="false">
      <c r="U733" s="34"/>
      <c r="V733" s="34"/>
      <c r="W733" s="34"/>
      <c r="X733" s="34"/>
    </row>
    <row r="734" customFormat="false" ht="15.75" hidden="false" customHeight="true" outlineLevel="0" collapsed="false">
      <c r="U734" s="34"/>
      <c r="V734" s="34"/>
      <c r="W734" s="34"/>
      <c r="X734" s="34"/>
    </row>
    <row r="735" customFormat="false" ht="15.75" hidden="false" customHeight="true" outlineLevel="0" collapsed="false">
      <c r="U735" s="34"/>
      <c r="V735" s="34"/>
      <c r="W735" s="34"/>
      <c r="X735" s="34"/>
    </row>
    <row r="736" customFormat="false" ht="15.75" hidden="false" customHeight="true" outlineLevel="0" collapsed="false">
      <c r="U736" s="34"/>
      <c r="V736" s="34"/>
      <c r="W736" s="34"/>
      <c r="X736" s="34"/>
    </row>
    <row r="737" customFormat="false" ht="15.75" hidden="false" customHeight="true" outlineLevel="0" collapsed="false">
      <c r="U737" s="34"/>
      <c r="V737" s="34"/>
      <c r="W737" s="34"/>
      <c r="X737" s="34"/>
    </row>
    <row r="738" customFormat="false" ht="15.75" hidden="false" customHeight="true" outlineLevel="0" collapsed="false">
      <c r="U738" s="34"/>
      <c r="V738" s="34"/>
      <c r="W738" s="34"/>
      <c r="X738" s="34"/>
    </row>
    <row r="739" customFormat="false" ht="15.75" hidden="false" customHeight="true" outlineLevel="0" collapsed="false">
      <c r="U739" s="34"/>
      <c r="V739" s="34"/>
      <c r="W739" s="34"/>
      <c r="X739" s="34"/>
    </row>
    <row r="740" customFormat="false" ht="15.75" hidden="false" customHeight="true" outlineLevel="0" collapsed="false">
      <c r="U740" s="34"/>
      <c r="V740" s="34"/>
      <c r="W740" s="34"/>
      <c r="X740" s="34"/>
    </row>
    <row r="741" customFormat="false" ht="15.75" hidden="false" customHeight="true" outlineLevel="0" collapsed="false">
      <c r="U741" s="34"/>
      <c r="V741" s="34"/>
      <c r="W741" s="34"/>
      <c r="X741" s="34"/>
    </row>
    <row r="742" customFormat="false" ht="15.75" hidden="false" customHeight="true" outlineLevel="0" collapsed="false">
      <c r="U742" s="34"/>
      <c r="V742" s="34"/>
      <c r="W742" s="34"/>
      <c r="X742" s="34"/>
    </row>
    <row r="743" customFormat="false" ht="15.75" hidden="false" customHeight="true" outlineLevel="0" collapsed="false">
      <c r="U743" s="34"/>
      <c r="V743" s="34"/>
      <c r="W743" s="34"/>
      <c r="X743" s="34"/>
    </row>
    <row r="744" customFormat="false" ht="15.75" hidden="false" customHeight="true" outlineLevel="0" collapsed="false">
      <c r="U744" s="34"/>
      <c r="V744" s="34"/>
      <c r="W744" s="34"/>
      <c r="X744" s="34"/>
    </row>
    <row r="745" customFormat="false" ht="15.75" hidden="false" customHeight="true" outlineLevel="0" collapsed="false">
      <c r="U745" s="34"/>
      <c r="V745" s="34"/>
      <c r="W745" s="34"/>
      <c r="X745" s="34"/>
    </row>
    <row r="746" customFormat="false" ht="15.75" hidden="false" customHeight="true" outlineLevel="0" collapsed="false">
      <c r="U746" s="34"/>
      <c r="V746" s="34"/>
      <c r="W746" s="34"/>
      <c r="X746" s="34"/>
    </row>
    <row r="747" customFormat="false" ht="15.75" hidden="false" customHeight="true" outlineLevel="0" collapsed="false">
      <c r="U747" s="34"/>
      <c r="V747" s="34"/>
      <c r="W747" s="34"/>
      <c r="X747" s="34"/>
    </row>
    <row r="748" customFormat="false" ht="15.75" hidden="false" customHeight="true" outlineLevel="0" collapsed="false">
      <c r="U748" s="34"/>
      <c r="V748" s="34"/>
      <c r="W748" s="34"/>
      <c r="X748" s="34"/>
    </row>
    <row r="749" customFormat="false" ht="15.75" hidden="false" customHeight="true" outlineLevel="0" collapsed="false">
      <c r="U749" s="34"/>
      <c r="V749" s="34"/>
      <c r="W749" s="34"/>
      <c r="X749" s="34"/>
    </row>
    <row r="750" customFormat="false" ht="15.75" hidden="false" customHeight="true" outlineLevel="0" collapsed="false">
      <c r="U750" s="34"/>
      <c r="V750" s="34"/>
      <c r="W750" s="34"/>
      <c r="X750" s="34"/>
    </row>
    <row r="751" customFormat="false" ht="15.75" hidden="false" customHeight="true" outlineLevel="0" collapsed="false">
      <c r="U751" s="34"/>
      <c r="V751" s="34"/>
      <c r="W751" s="34"/>
      <c r="X751" s="34"/>
    </row>
    <row r="752" customFormat="false" ht="15.75" hidden="false" customHeight="true" outlineLevel="0" collapsed="false">
      <c r="U752" s="34"/>
      <c r="V752" s="34"/>
      <c r="W752" s="34"/>
      <c r="X752" s="34"/>
    </row>
    <row r="753" customFormat="false" ht="15.75" hidden="false" customHeight="true" outlineLevel="0" collapsed="false">
      <c r="U753" s="34"/>
      <c r="V753" s="34"/>
      <c r="W753" s="34"/>
      <c r="X753" s="34"/>
    </row>
    <row r="754" customFormat="false" ht="15.75" hidden="false" customHeight="true" outlineLevel="0" collapsed="false">
      <c r="U754" s="34"/>
      <c r="V754" s="34"/>
      <c r="W754" s="34"/>
      <c r="X754" s="34"/>
    </row>
    <row r="755" customFormat="false" ht="15.75" hidden="false" customHeight="true" outlineLevel="0" collapsed="false">
      <c r="U755" s="34"/>
      <c r="V755" s="34"/>
      <c r="W755" s="34"/>
      <c r="X755" s="34"/>
    </row>
    <row r="756" customFormat="false" ht="15.75" hidden="false" customHeight="true" outlineLevel="0" collapsed="false">
      <c r="U756" s="34"/>
      <c r="V756" s="34"/>
      <c r="W756" s="34"/>
      <c r="X756" s="34"/>
    </row>
    <row r="757" customFormat="false" ht="15.75" hidden="false" customHeight="true" outlineLevel="0" collapsed="false">
      <c r="U757" s="34"/>
      <c r="V757" s="34"/>
      <c r="W757" s="34"/>
      <c r="X757" s="34"/>
    </row>
    <row r="758" customFormat="false" ht="15.75" hidden="false" customHeight="true" outlineLevel="0" collapsed="false">
      <c r="U758" s="34"/>
      <c r="V758" s="34"/>
      <c r="W758" s="34"/>
      <c r="X758" s="34"/>
    </row>
    <row r="759" customFormat="false" ht="15.75" hidden="false" customHeight="true" outlineLevel="0" collapsed="false">
      <c r="U759" s="34"/>
      <c r="V759" s="34"/>
      <c r="W759" s="34"/>
      <c r="X759" s="34"/>
    </row>
    <row r="760" customFormat="false" ht="15.75" hidden="false" customHeight="true" outlineLevel="0" collapsed="false">
      <c r="U760" s="34"/>
      <c r="V760" s="34"/>
      <c r="W760" s="34"/>
      <c r="X760" s="34"/>
    </row>
    <row r="761" customFormat="false" ht="15.75" hidden="false" customHeight="true" outlineLevel="0" collapsed="false">
      <c r="U761" s="34"/>
      <c r="V761" s="34"/>
      <c r="W761" s="34"/>
      <c r="X761" s="34"/>
    </row>
    <row r="762" customFormat="false" ht="15.75" hidden="false" customHeight="true" outlineLevel="0" collapsed="false">
      <c r="U762" s="34"/>
      <c r="V762" s="34"/>
      <c r="W762" s="34"/>
      <c r="X762" s="34"/>
    </row>
    <row r="763" customFormat="false" ht="15.75" hidden="false" customHeight="true" outlineLevel="0" collapsed="false">
      <c r="U763" s="34"/>
      <c r="V763" s="34"/>
      <c r="W763" s="34"/>
      <c r="X763" s="34"/>
    </row>
    <row r="764" customFormat="false" ht="15.75" hidden="false" customHeight="true" outlineLevel="0" collapsed="false">
      <c r="U764" s="34"/>
      <c r="V764" s="34"/>
      <c r="W764" s="34"/>
      <c r="X764" s="34"/>
    </row>
    <row r="765" customFormat="false" ht="15.75" hidden="false" customHeight="true" outlineLevel="0" collapsed="false">
      <c r="U765" s="34"/>
      <c r="V765" s="34"/>
      <c r="W765" s="34"/>
      <c r="X765" s="34"/>
    </row>
    <row r="766" customFormat="false" ht="15.75" hidden="false" customHeight="true" outlineLevel="0" collapsed="false">
      <c r="U766" s="34"/>
      <c r="V766" s="34"/>
      <c r="W766" s="34"/>
      <c r="X766" s="34"/>
    </row>
    <row r="767" customFormat="false" ht="15.75" hidden="false" customHeight="true" outlineLevel="0" collapsed="false">
      <c r="U767" s="34"/>
      <c r="V767" s="34"/>
      <c r="W767" s="34"/>
      <c r="X767" s="34"/>
    </row>
    <row r="768" customFormat="false" ht="15.75" hidden="false" customHeight="true" outlineLevel="0" collapsed="false">
      <c r="U768" s="34"/>
      <c r="V768" s="34"/>
      <c r="W768" s="34"/>
      <c r="X768" s="34"/>
    </row>
    <row r="769" customFormat="false" ht="15.75" hidden="false" customHeight="true" outlineLevel="0" collapsed="false">
      <c r="U769" s="34"/>
      <c r="V769" s="34"/>
      <c r="W769" s="34"/>
      <c r="X769" s="34"/>
    </row>
    <row r="770" customFormat="false" ht="15.75" hidden="false" customHeight="true" outlineLevel="0" collapsed="false">
      <c r="U770" s="34"/>
      <c r="V770" s="34"/>
      <c r="W770" s="34"/>
      <c r="X770" s="34"/>
    </row>
    <row r="771" customFormat="false" ht="15.75" hidden="false" customHeight="true" outlineLevel="0" collapsed="false">
      <c r="U771" s="34"/>
      <c r="V771" s="34"/>
      <c r="W771" s="34"/>
      <c r="X771" s="34"/>
    </row>
    <row r="772" customFormat="false" ht="15.75" hidden="false" customHeight="true" outlineLevel="0" collapsed="false">
      <c r="U772" s="34"/>
      <c r="V772" s="34"/>
      <c r="W772" s="34"/>
      <c r="X772" s="34"/>
    </row>
    <row r="773" customFormat="false" ht="15.75" hidden="false" customHeight="true" outlineLevel="0" collapsed="false">
      <c r="U773" s="34"/>
      <c r="V773" s="34"/>
      <c r="W773" s="34"/>
      <c r="X773" s="34"/>
    </row>
    <row r="774" customFormat="false" ht="15.75" hidden="false" customHeight="true" outlineLevel="0" collapsed="false">
      <c r="U774" s="34"/>
      <c r="V774" s="34"/>
      <c r="W774" s="34"/>
      <c r="X774" s="34"/>
    </row>
    <row r="775" customFormat="false" ht="15.75" hidden="false" customHeight="true" outlineLevel="0" collapsed="false">
      <c r="U775" s="34"/>
      <c r="V775" s="34"/>
      <c r="W775" s="34"/>
      <c r="X775" s="34"/>
    </row>
    <row r="776" customFormat="false" ht="15.75" hidden="false" customHeight="true" outlineLevel="0" collapsed="false">
      <c r="U776" s="34"/>
      <c r="V776" s="34"/>
      <c r="W776" s="34"/>
      <c r="X776" s="34"/>
    </row>
    <row r="777" customFormat="false" ht="15.75" hidden="false" customHeight="true" outlineLevel="0" collapsed="false">
      <c r="U777" s="34"/>
      <c r="V777" s="34"/>
      <c r="W777" s="34"/>
      <c r="X777" s="34"/>
    </row>
    <row r="778" customFormat="false" ht="15.75" hidden="false" customHeight="true" outlineLevel="0" collapsed="false">
      <c r="U778" s="34"/>
      <c r="V778" s="34"/>
      <c r="W778" s="34"/>
      <c r="X778" s="34"/>
    </row>
    <row r="779" customFormat="false" ht="15.75" hidden="false" customHeight="true" outlineLevel="0" collapsed="false">
      <c r="U779" s="34"/>
      <c r="V779" s="34"/>
      <c r="W779" s="34"/>
      <c r="X779" s="34"/>
    </row>
    <row r="780" customFormat="false" ht="15.75" hidden="false" customHeight="true" outlineLevel="0" collapsed="false">
      <c r="U780" s="34"/>
      <c r="V780" s="34"/>
      <c r="W780" s="34"/>
      <c r="X780" s="34"/>
    </row>
    <row r="781" customFormat="false" ht="15.75" hidden="false" customHeight="true" outlineLevel="0" collapsed="false">
      <c r="U781" s="34"/>
      <c r="V781" s="34"/>
      <c r="W781" s="34"/>
      <c r="X781" s="34"/>
    </row>
    <row r="782" customFormat="false" ht="15.75" hidden="false" customHeight="true" outlineLevel="0" collapsed="false">
      <c r="U782" s="34"/>
      <c r="V782" s="34"/>
      <c r="W782" s="34"/>
      <c r="X782" s="34"/>
    </row>
    <row r="783" customFormat="false" ht="15.75" hidden="false" customHeight="true" outlineLevel="0" collapsed="false">
      <c r="U783" s="34"/>
      <c r="V783" s="34"/>
      <c r="W783" s="34"/>
      <c r="X783" s="34"/>
    </row>
    <row r="784" customFormat="false" ht="15.75" hidden="false" customHeight="true" outlineLevel="0" collapsed="false">
      <c r="U784" s="34"/>
      <c r="V784" s="34"/>
      <c r="W784" s="34"/>
      <c r="X784" s="34"/>
    </row>
    <row r="785" customFormat="false" ht="15.75" hidden="false" customHeight="true" outlineLevel="0" collapsed="false">
      <c r="U785" s="34"/>
      <c r="V785" s="34"/>
      <c r="W785" s="34"/>
      <c r="X785" s="34"/>
    </row>
    <row r="786" customFormat="false" ht="15.75" hidden="false" customHeight="true" outlineLevel="0" collapsed="false">
      <c r="U786" s="34"/>
      <c r="V786" s="34"/>
      <c r="W786" s="34"/>
      <c r="X786" s="34"/>
    </row>
    <row r="787" customFormat="false" ht="15.75" hidden="false" customHeight="true" outlineLevel="0" collapsed="false">
      <c r="U787" s="34"/>
      <c r="V787" s="34"/>
      <c r="W787" s="34"/>
      <c r="X787" s="34"/>
    </row>
    <row r="788" customFormat="false" ht="15.75" hidden="false" customHeight="true" outlineLevel="0" collapsed="false">
      <c r="U788" s="34"/>
      <c r="V788" s="34"/>
      <c r="W788" s="34"/>
      <c r="X788" s="34"/>
    </row>
    <row r="789" customFormat="false" ht="15.75" hidden="false" customHeight="true" outlineLevel="0" collapsed="false">
      <c r="U789" s="34"/>
      <c r="V789" s="34"/>
      <c r="W789" s="34"/>
      <c r="X789" s="34"/>
    </row>
    <row r="790" customFormat="false" ht="15.75" hidden="false" customHeight="true" outlineLevel="0" collapsed="false">
      <c r="U790" s="34"/>
      <c r="V790" s="34"/>
      <c r="W790" s="34"/>
      <c r="X790" s="34"/>
    </row>
    <row r="791" customFormat="false" ht="15.75" hidden="false" customHeight="true" outlineLevel="0" collapsed="false">
      <c r="U791" s="34"/>
      <c r="V791" s="34"/>
      <c r="W791" s="34"/>
      <c r="X791" s="34"/>
    </row>
    <row r="792" customFormat="false" ht="15.75" hidden="false" customHeight="true" outlineLevel="0" collapsed="false">
      <c r="U792" s="34"/>
      <c r="V792" s="34"/>
      <c r="W792" s="34"/>
      <c r="X792" s="34"/>
    </row>
    <row r="793" customFormat="false" ht="15.75" hidden="false" customHeight="true" outlineLevel="0" collapsed="false">
      <c r="U793" s="34"/>
      <c r="V793" s="34"/>
      <c r="W793" s="34"/>
      <c r="X793" s="34"/>
    </row>
    <row r="794" customFormat="false" ht="15.75" hidden="false" customHeight="true" outlineLevel="0" collapsed="false">
      <c r="U794" s="34"/>
      <c r="V794" s="34"/>
      <c r="W794" s="34"/>
      <c r="X794" s="34"/>
    </row>
    <row r="795" customFormat="false" ht="15.75" hidden="false" customHeight="true" outlineLevel="0" collapsed="false">
      <c r="U795" s="34"/>
      <c r="V795" s="34"/>
      <c r="W795" s="34"/>
      <c r="X795" s="34"/>
    </row>
    <row r="796" customFormat="false" ht="15.75" hidden="false" customHeight="true" outlineLevel="0" collapsed="false">
      <c r="U796" s="34"/>
      <c r="V796" s="34"/>
      <c r="W796" s="34"/>
      <c r="X796" s="34"/>
    </row>
    <row r="797" customFormat="false" ht="15.75" hidden="false" customHeight="true" outlineLevel="0" collapsed="false">
      <c r="U797" s="34"/>
      <c r="V797" s="34"/>
      <c r="W797" s="34"/>
      <c r="X797" s="34"/>
    </row>
    <row r="798" customFormat="false" ht="15.75" hidden="false" customHeight="true" outlineLevel="0" collapsed="false">
      <c r="U798" s="34"/>
      <c r="V798" s="34"/>
      <c r="W798" s="34"/>
      <c r="X798" s="34"/>
    </row>
    <row r="799" customFormat="false" ht="15.75" hidden="false" customHeight="true" outlineLevel="0" collapsed="false">
      <c r="U799" s="34"/>
      <c r="V799" s="34"/>
      <c r="W799" s="34"/>
      <c r="X799" s="34"/>
    </row>
    <row r="800" customFormat="false" ht="15.75" hidden="false" customHeight="true" outlineLevel="0" collapsed="false">
      <c r="U800" s="34"/>
      <c r="V800" s="34"/>
      <c r="W800" s="34"/>
      <c r="X800" s="34"/>
    </row>
    <row r="801" customFormat="false" ht="15.75" hidden="false" customHeight="true" outlineLevel="0" collapsed="false">
      <c r="U801" s="34"/>
      <c r="V801" s="34"/>
      <c r="W801" s="34"/>
      <c r="X801" s="34"/>
    </row>
    <row r="802" customFormat="false" ht="15.75" hidden="false" customHeight="true" outlineLevel="0" collapsed="false">
      <c r="U802" s="34"/>
      <c r="V802" s="34"/>
      <c r="W802" s="34"/>
      <c r="X802" s="34"/>
    </row>
    <row r="803" customFormat="false" ht="15.75" hidden="false" customHeight="true" outlineLevel="0" collapsed="false">
      <c r="U803" s="34"/>
      <c r="V803" s="34"/>
      <c r="W803" s="34"/>
      <c r="X803" s="34"/>
    </row>
    <row r="804" customFormat="false" ht="15.75" hidden="false" customHeight="true" outlineLevel="0" collapsed="false">
      <c r="U804" s="34"/>
      <c r="V804" s="34"/>
      <c r="W804" s="34"/>
      <c r="X804" s="34"/>
    </row>
    <row r="805" customFormat="false" ht="15.75" hidden="false" customHeight="true" outlineLevel="0" collapsed="false">
      <c r="U805" s="34"/>
      <c r="V805" s="34"/>
      <c r="W805" s="34"/>
      <c r="X805" s="34"/>
    </row>
    <row r="806" customFormat="false" ht="15.75" hidden="false" customHeight="true" outlineLevel="0" collapsed="false">
      <c r="U806" s="34"/>
      <c r="V806" s="34"/>
      <c r="W806" s="34"/>
      <c r="X806" s="34"/>
    </row>
    <row r="807" customFormat="false" ht="15.75" hidden="false" customHeight="true" outlineLevel="0" collapsed="false">
      <c r="U807" s="34"/>
      <c r="V807" s="34"/>
      <c r="W807" s="34"/>
      <c r="X807" s="34"/>
    </row>
    <row r="808" customFormat="false" ht="15.75" hidden="false" customHeight="true" outlineLevel="0" collapsed="false">
      <c r="U808" s="34"/>
      <c r="V808" s="34"/>
      <c r="W808" s="34"/>
      <c r="X808" s="34"/>
    </row>
    <row r="809" customFormat="false" ht="15.75" hidden="false" customHeight="true" outlineLevel="0" collapsed="false">
      <c r="U809" s="34"/>
      <c r="V809" s="34"/>
      <c r="W809" s="34"/>
      <c r="X809" s="34"/>
    </row>
    <row r="810" customFormat="false" ht="15.75" hidden="false" customHeight="true" outlineLevel="0" collapsed="false">
      <c r="U810" s="34"/>
      <c r="V810" s="34"/>
      <c r="W810" s="34"/>
      <c r="X810" s="34"/>
    </row>
    <row r="811" customFormat="false" ht="15.75" hidden="false" customHeight="true" outlineLevel="0" collapsed="false">
      <c r="U811" s="34"/>
      <c r="V811" s="34"/>
      <c r="W811" s="34"/>
      <c r="X811" s="34"/>
    </row>
    <row r="812" customFormat="false" ht="15.75" hidden="false" customHeight="true" outlineLevel="0" collapsed="false">
      <c r="U812" s="34"/>
      <c r="V812" s="34"/>
      <c r="W812" s="34"/>
      <c r="X812" s="34"/>
    </row>
    <row r="813" customFormat="false" ht="15.75" hidden="false" customHeight="true" outlineLevel="0" collapsed="false">
      <c r="U813" s="34"/>
      <c r="V813" s="34"/>
      <c r="W813" s="34"/>
      <c r="X813" s="34"/>
    </row>
    <row r="814" customFormat="false" ht="15.75" hidden="false" customHeight="true" outlineLevel="0" collapsed="false">
      <c r="U814" s="34"/>
      <c r="V814" s="34"/>
      <c r="W814" s="34"/>
      <c r="X814" s="34"/>
    </row>
    <row r="815" customFormat="false" ht="15.75" hidden="false" customHeight="true" outlineLevel="0" collapsed="false">
      <c r="U815" s="34"/>
      <c r="V815" s="34"/>
      <c r="W815" s="34"/>
      <c r="X815" s="34"/>
    </row>
    <row r="816" customFormat="false" ht="15.75" hidden="false" customHeight="true" outlineLevel="0" collapsed="false">
      <c r="U816" s="34"/>
      <c r="V816" s="34"/>
      <c r="W816" s="34"/>
      <c r="X816" s="34"/>
    </row>
    <row r="817" customFormat="false" ht="15.75" hidden="false" customHeight="true" outlineLevel="0" collapsed="false">
      <c r="U817" s="34"/>
      <c r="V817" s="34"/>
      <c r="W817" s="34"/>
      <c r="X817" s="34"/>
    </row>
    <row r="818" customFormat="false" ht="15.75" hidden="false" customHeight="true" outlineLevel="0" collapsed="false">
      <c r="U818" s="34"/>
      <c r="V818" s="34"/>
      <c r="W818" s="34"/>
      <c r="X818" s="34"/>
    </row>
    <row r="819" customFormat="false" ht="15.75" hidden="false" customHeight="true" outlineLevel="0" collapsed="false">
      <c r="U819" s="34"/>
      <c r="V819" s="34"/>
      <c r="W819" s="34"/>
      <c r="X819" s="34"/>
    </row>
    <row r="820" customFormat="false" ht="15.75" hidden="false" customHeight="true" outlineLevel="0" collapsed="false">
      <c r="U820" s="34"/>
      <c r="V820" s="34"/>
      <c r="W820" s="34"/>
      <c r="X820" s="34"/>
    </row>
    <row r="821" customFormat="false" ht="15.75" hidden="false" customHeight="true" outlineLevel="0" collapsed="false">
      <c r="U821" s="34"/>
      <c r="V821" s="34"/>
      <c r="W821" s="34"/>
      <c r="X821" s="34"/>
    </row>
    <row r="822" customFormat="false" ht="15.75" hidden="false" customHeight="true" outlineLevel="0" collapsed="false">
      <c r="U822" s="34"/>
      <c r="V822" s="34"/>
      <c r="W822" s="34"/>
      <c r="X822" s="34"/>
    </row>
    <row r="823" customFormat="false" ht="15.75" hidden="false" customHeight="true" outlineLevel="0" collapsed="false">
      <c r="U823" s="34"/>
      <c r="V823" s="34"/>
      <c r="W823" s="34"/>
      <c r="X823" s="34"/>
    </row>
    <row r="824" customFormat="false" ht="15.75" hidden="false" customHeight="true" outlineLevel="0" collapsed="false">
      <c r="U824" s="34"/>
      <c r="V824" s="34"/>
      <c r="W824" s="34"/>
      <c r="X824" s="34"/>
    </row>
    <row r="825" customFormat="false" ht="15.75" hidden="false" customHeight="true" outlineLevel="0" collapsed="false">
      <c r="U825" s="34"/>
      <c r="V825" s="34"/>
      <c r="W825" s="34"/>
      <c r="X825" s="34"/>
    </row>
    <row r="826" customFormat="false" ht="15.75" hidden="false" customHeight="true" outlineLevel="0" collapsed="false">
      <c r="U826" s="34"/>
      <c r="V826" s="34"/>
      <c r="W826" s="34"/>
      <c r="X826" s="34"/>
    </row>
    <row r="827" customFormat="false" ht="15.75" hidden="false" customHeight="true" outlineLevel="0" collapsed="false">
      <c r="U827" s="34"/>
      <c r="V827" s="34"/>
      <c r="W827" s="34"/>
      <c r="X827" s="34"/>
    </row>
    <row r="828" customFormat="false" ht="15.75" hidden="false" customHeight="true" outlineLevel="0" collapsed="false">
      <c r="U828" s="34"/>
      <c r="V828" s="34"/>
      <c r="W828" s="34"/>
      <c r="X828" s="34"/>
    </row>
    <row r="829" customFormat="false" ht="15.75" hidden="false" customHeight="true" outlineLevel="0" collapsed="false">
      <c r="U829" s="34"/>
      <c r="V829" s="34"/>
      <c r="W829" s="34"/>
      <c r="X829" s="34"/>
    </row>
    <row r="830" customFormat="false" ht="15.75" hidden="false" customHeight="true" outlineLevel="0" collapsed="false">
      <c r="U830" s="34"/>
      <c r="V830" s="34"/>
      <c r="W830" s="34"/>
      <c r="X830" s="34"/>
    </row>
    <row r="831" customFormat="false" ht="15.75" hidden="false" customHeight="true" outlineLevel="0" collapsed="false">
      <c r="U831" s="34"/>
      <c r="V831" s="34"/>
      <c r="W831" s="34"/>
      <c r="X831" s="34"/>
    </row>
    <row r="832" customFormat="false" ht="15.75" hidden="false" customHeight="true" outlineLevel="0" collapsed="false">
      <c r="U832" s="34"/>
      <c r="V832" s="34"/>
      <c r="W832" s="34"/>
      <c r="X832" s="34"/>
    </row>
    <row r="833" customFormat="false" ht="15.75" hidden="false" customHeight="true" outlineLevel="0" collapsed="false">
      <c r="U833" s="34"/>
      <c r="V833" s="34"/>
      <c r="W833" s="34"/>
      <c r="X833" s="34"/>
    </row>
    <row r="834" customFormat="false" ht="15.75" hidden="false" customHeight="true" outlineLevel="0" collapsed="false">
      <c r="U834" s="34"/>
      <c r="V834" s="34"/>
      <c r="W834" s="34"/>
      <c r="X834" s="34"/>
    </row>
    <row r="835" customFormat="false" ht="15.75" hidden="false" customHeight="true" outlineLevel="0" collapsed="false">
      <c r="U835" s="34"/>
      <c r="V835" s="34"/>
      <c r="W835" s="34"/>
      <c r="X835" s="34"/>
    </row>
    <row r="836" customFormat="false" ht="15.75" hidden="false" customHeight="true" outlineLevel="0" collapsed="false">
      <c r="U836" s="34"/>
      <c r="V836" s="34"/>
      <c r="W836" s="34"/>
      <c r="X836" s="34"/>
    </row>
    <row r="837" customFormat="false" ht="15.75" hidden="false" customHeight="true" outlineLevel="0" collapsed="false">
      <c r="U837" s="34"/>
      <c r="V837" s="34"/>
      <c r="W837" s="34"/>
      <c r="X837" s="34"/>
    </row>
    <row r="838" customFormat="false" ht="15.75" hidden="false" customHeight="true" outlineLevel="0" collapsed="false">
      <c r="U838" s="34"/>
      <c r="V838" s="34"/>
      <c r="W838" s="34"/>
      <c r="X838" s="34"/>
    </row>
    <row r="839" customFormat="false" ht="15.75" hidden="false" customHeight="true" outlineLevel="0" collapsed="false">
      <c r="U839" s="34"/>
      <c r="V839" s="34"/>
      <c r="W839" s="34"/>
      <c r="X839" s="34"/>
    </row>
    <row r="840" customFormat="false" ht="15.75" hidden="false" customHeight="true" outlineLevel="0" collapsed="false">
      <c r="U840" s="34"/>
      <c r="V840" s="34"/>
      <c r="W840" s="34"/>
      <c r="X840" s="34"/>
    </row>
    <row r="841" customFormat="false" ht="15.75" hidden="false" customHeight="true" outlineLevel="0" collapsed="false">
      <c r="U841" s="34"/>
      <c r="V841" s="34"/>
      <c r="W841" s="34"/>
      <c r="X841" s="34"/>
    </row>
    <row r="842" customFormat="false" ht="15.75" hidden="false" customHeight="true" outlineLevel="0" collapsed="false">
      <c r="U842" s="34"/>
      <c r="V842" s="34"/>
      <c r="W842" s="34"/>
      <c r="X842" s="34"/>
    </row>
    <row r="843" customFormat="false" ht="15.75" hidden="false" customHeight="true" outlineLevel="0" collapsed="false">
      <c r="U843" s="34"/>
      <c r="V843" s="34"/>
      <c r="W843" s="34"/>
      <c r="X843" s="34"/>
    </row>
    <row r="844" customFormat="false" ht="15.75" hidden="false" customHeight="true" outlineLevel="0" collapsed="false">
      <c r="U844" s="34"/>
      <c r="V844" s="34"/>
      <c r="W844" s="34"/>
      <c r="X844" s="34"/>
    </row>
    <row r="845" customFormat="false" ht="15.75" hidden="false" customHeight="true" outlineLevel="0" collapsed="false">
      <c r="U845" s="34"/>
      <c r="V845" s="34"/>
      <c r="W845" s="34"/>
      <c r="X845" s="34"/>
    </row>
    <row r="846" customFormat="false" ht="15.75" hidden="false" customHeight="true" outlineLevel="0" collapsed="false">
      <c r="U846" s="34"/>
      <c r="V846" s="34"/>
      <c r="W846" s="34"/>
      <c r="X846" s="34"/>
    </row>
    <row r="847" customFormat="false" ht="15.75" hidden="false" customHeight="true" outlineLevel="0" collapsed="false">
      <c r="U847" s="34"/>
      <c r="V847" s="34"/>
      <c r="W847" s="34"/>
      <c r="X847" s="34"/>
    </row>
    <row r="848" customFormat="false" ht="15.75" hidden="false" customHeight="true" outlineLevel="0" collapsed="false">
      <c r="U848" s="34"/>
      <c r="V848" s="34"/>
      <c r="W848" s="34"/>
      <c r="X848" s="34"/>
    </row>
    <row r="849" customFormat="false" ht="15.75" hidden="false" customHeight="true" outlineLevel="0" collapsed="false">
      <c r="U849" s="34"/>
      <c r="V849" s="34"/>
      <c r="W849" s="34"/>
      <c r="X849" s="34"/>
    </row>
    <row r="850" customFormat="false" ht="15.75" hidden="false" customHeight="true" outlineLevel="0" collapsed="false">
      <c r="U850" s="34"/>
      <c r="V850" s="34"/>
      <c r="W850" s="34"/>
      <c r="X850" s="34"/>
    </row>
    <row r="851" customFormat="false" ht="15.75" hidden="false" customHeight="true" outlineLevel="0" collapsed="false">
      <c r="U851" s="34"/>
      <c r="V851" s="34"/>
      <c r="W851" s="34"/>
      <c r="X851" s="34"/>
    </row>
    <row r="852" customFormat="false" ht="15.75" hidden="false" customHeight="true" outlineLevel="0" collapsed="false">
      <c r="U852" s="34"/>
      <c r="V852" s="34"/>
      <c r="W852" s="34"/>
      <c r="X852" s="34"/>
    </row>
    <row r="853" customFormat="false" ht="15.75" hidden="false" customHeight="true" outlineLevel="0" collapsed="false">
      <c r="U853" s="34"/>
      <c r="V853" s="34"/>
      <c r="W853" s="34"/>
      <c r="X853" s="34"/>
    </row>
    <row r="854" customFormat="false" ht="15.75" hidden="false" customHeight="true" outlineLevel="0" collapsed="false">
      <c r="U854" s="34"/>
      <c r="V854" s="34"/>
      <c r="W854" s="34"/>
      <c r="X854" s="34"/>
    </row>
    <row r="855" customFormat="false" ht="15.75" hidden="false" customHeight="true" outlineLevel="0" collapsed="false">
      <c r="U855" s="34"/>
      <c r="V855" s="34"/>
      <c r="W855" s="34"/>
      <c r="X855" s="34"/>
    </row>
    <row r="856" customFormat="false" ht="15.75" hidden="false" customHeight="true" outlineLevel="0" collapsed="false">
      <c r="U856" s="34"/>
      <c r="V856" s="34"/>
      <c r="W856" s="34"/>
      <c r="X856" s="34"/>
    </row>
    <row r="857" customFormat="false" ht="15.75" hidden="false" customHeight="true" outlineLevel="0" collapsed="false">
      <c r="U857" s="34"/>
      <c r="V857" s="34"/>
      <c r="W857" s="34"/>
      <c r="X857" s="34"/>
    </row>
    <row r="858" customFormat="false" ht="15.75" hidden="false" customHeight="true" outlineLevel="0" collapsed="false">
      <c r="U858" s="34"/>
      <c r="V858" s="34"/>
      <c r="W858" s="34"/>
      <c r="X858" s="34"/>
    </row>
    <row r="859" customFormat="false" ht="15.75" hidden="false" customHeight="true" outlineLevel="0" collapsed="false">
      <c r="U859" s="34"/>
      <c r="V859" s="34"/>
      <c r="W859" s="34"/>
      <c r="X859" s="34"/>
    </row>
    <row r="860" customFormat="false" ht="15.75" hidden="false" customHeight="true" outlineLevel="0" collapsed="false">
      <c r="U860" s="34"/>
      <c r="V860" s="34"/>
      <c r="W860" s="34"/>
      <c r="X860" s="34"/>
    </row>
    <row r="861" customFormat="false" ht="15.75" hidden="false" customHeight="true" outlineLevel="0" collapsed="false">
      <c r="U861" s="34"/>
      <c r="V861" s="34"/>
      <c r="W861" s="34"/>
      <c r="X861" s="34"/>
    </row>
    <row r="862" customFormat="false" ht="15.75" hidden="false" customHeight="true" outlineLevel="0" collapsed="false">
      <c r="U862" s="34"/>
      <c r="V862" s="34"/>
      <c r="W862" s="34"/>
      <c r="X862" s="34"/>
    </row>
    <row r="863" customFormat="false" ht="15.75" hidden="false" customHeight="true" outlineLevel="0" collapsed="false">
      <c r="U863" s="34"/>
      <c r="V863" s="34"/>
      <c r="W863" s="34"/>
      <c r="X863" s="34"/>
    </row>
    <row r="864" customFormat="false" ht="15.75" hidden="false" customHeight="true" outlineLevel="0" collapsed="false">
      <c r="U864" s="34"/>
      <c r="V864" s="34"/>
      <c r="W864" s="34"/>
      <c r="X864" s="34"/>
    </row>
    <row r="865" customFormat="false" ht="15.75" hidden="false" customHeight="true" outlineLevel="0" collapsed="false">
      <c r="U865" s="34"/>
      <c r="V865" s="34"/>
      <c r="W865" s="34"/>
      <c r="X865" s="34"/>
    </row>
    <row r="866" customFormat="false" ht="15.75" hidden="false" customHeight="true" outlineLevel="0" collapsed="false">
      <c r="U866" s="34"/>
      <c r="V866" s="34"/>
      <c r="W866" s="34"/>
      <c r="X866" s="34"/>
    </row>
    <row r="867" customFormat="false" ht="15.75" hidden="false" customHeight="true" outlineLevel="0" collapsed="false">
      <c r="U867" s="34"/>
      <c r="V867" s="34"/>
      <c r="W867" s="34"/>
      <c r="X867" s="34"/>
    </row>
    <row r="868" customFormat="false" ht="15.75" hidden="false" customHeight="true" outlineLevel="0" collapsed="false">
      <c r="U868" s="34"/>
      <c r="V868" s="34"/>
      <c r="W868" s="34"/>
      <c r="X868" s="34"/>
    </row>
    <row r="869" customFormat="false" ht="15.75" hidden="false" customHeight="true" outlineLevel="0" collapsed="false">
      <c r="U869" s="34"/>
      <c r="V869" s="34"/>
      <c r="W869" s="34"/>
      <c r="X869" s="34"/>
    </row>
    <row r="870" customFormat="false" ht="15.75" hidden="false" customHeight="true" outlineLevel="0" collapsed="false">
      <c r="U870" s="34"/>
      <c r="V870" s="34"/>
      <c r="W870" s="34"/>
      <c r="X870" s="34"/>
    </row>
    <row r="871" customFormat="false" ht="15.75" hidden="false" customHeight="true" outlineLevel="0" collapsed="false">
      <c r="U871" s="34"/>
      <c r="V871" s="34"/>
      <c r="W871" s="34"/>
      <c r="X871" s="34"/>
    </row>
    <row r="872" customFormat="false" ht="15.75" hidden="false" customHeight="true" outlineLevel="0" collapsed="false">
      <c r="U872" s="34"/>
      <c r="V872" s="34"/>
      <c r="W872" s="34"/>
      <c r="X872" s="34"/>
    </row>
    <row r="873" customFormat="false" ht="15.75" hidden="false" customHeight="true" outlineLevel="0" collapsed="false">
      <c r="U873" s="34"/>
      <c r="V873" s="34"/>
      <c r="W873" s="34"/>
      <c r="X873" s="34"/>
    </row>
    <row r="874" customFormat="false" ht="15.75" hidden="false" customHeight="true" outlineLevel="0" collapsed="false">
      <c r="U874" s="34"/>
      <c r="V874" s="34"/>
      <c r="W874" s="34"/>
      <c r="X874" s="34"/>
    </row>
    <row r="875" customFormat="false" ht="15.75" hidden="false" customHeight="true" outlineLevel="0" collapsed="false">
      <c r="U875" s="34"/>
      <c r="V875" s="34"/>
      <c r="W875" s="34"/>
      <c r="X875" s="34"/>
    </row>
    <row r="876" customFormat="false" ht="15.75" hidden="false" customHeight="true" outlineLevel="0" collapsed="false">
      <c r="U876" s="34"/>
      <c r="V876" s="34"/>
      <c r="W876" s="34"/>
      <c r="X876" s="34"/>
    </row>
    <row r="877" customFormat="false" ht="15.75" hidden="false" customHeight="true" outlineLevel="0" collapsed="false">
      <c r="U877" s="34"/>
      <c r="V877" s="34"/>
      <c r="W877" s="34"/>
      <c r="X877" s="34"/>
    </row>
    <row r="878" customFormat="false" ht="15.75" hidden="false" customHeight="true" outlineLevel="0" collapsed="false">
      <c r="U878" s="34"/>
      <c r="V878" s="34"/>
      <c r="W878" s="34"/>
      <c r="X878" s="34"/>
    </row>
    <row r="879" customFormat="false" ht="15.75" hidden="false" customHeight="true" outlineLevel="0" collapsed="false">
      <c r="U879" s="34"/>
      <c r="V879" s="34"/>
      <c r="W879" s="34"/>
      <c r="X879" s="34"/>
    </row>
    <row r="880" customFormat="false" ht="15.75" hidden="false" customHeight="true" outlineLevel="0" collapsed="false">
      <c r="U880" s="34"/>
      <c r="V880" s="34"/>
      <c r="W880" s="34"/>
      <c r="X880" s="34"/>
    </row>
    <row r="881" customFormat="false" ht="15.75" hidden="false" customHeight="true" outlineLevel="0" collapsed="false">
      <c r="U881" s="34"/>
      <c r="V881" s="34"/>
      <c r="W881" s="34"/>
      <c r="X881" s="34"/>
    </row>
    <row r="882" customFormat="false" ht="15.75" hidden="false" customHeight="true" outlineLevel="0" collapsed="false">
      <c r="U882" s="34"/>
      <c r="V882" s="34"/>
      <c r="W882" s="34"/>
      <c r="X882" s="34"/>
    </row>
    <row r="883" customFormat="false" ht="15.75" hidden="false" customHeight="true" outlineLevel="0" collapsed="false">
      <c r="U883" s="34"/>
      <c r="V883" s="34"/>
      <c r="W883" s="34"/>
      <c r="X883" s="34"/>
    </row>
    <row r="884" customFormat="false" ht="15.75" hidden="false" customHeight="true" outlineLevel="0" collapsed="false">
      <c r="U884" s="34"/>
      <c r="V884" s="34"/>
      <c r="W884" s="34"/>
      <c r="X884" s="34"/>
    </row>
    <row r="885" customFormat="false" ht="15.75" hidden="false" customHeight="true" outlineLevel="0" collapsed="false">
      <c r="U885" s="34"/>
      <c r="V885" s="34"/>
      <c r="W885" s="34"/>
      <c r="X885" s="34"/>
    </row>
    <row r="886" customFormat="false" ht="15.75" hidden="false" customHeight="true" outlineLevel="0" collapsed="false">
      <c r="U886" s="34"/>
      <c r="V886" s="34"/>
      <c r="W886" s="34"/>
      <c r="X886" s="34"/>
    </row>
    <row r="887" customFormat="false" ht="15.75" hidden="false" customHeight="true" outlineLevel="0" collapsed="false">
      <c r="U887" s="34"/>
      <c r="V887" s="34"/>
      <c r="W887" s="34"/>
      <c r="X887" s="34"/>
    </row>
    <row r="888" customFormat="false" ht="15.75" hidden="false" customHeight="true" outlineLevel="0" collapsed="false">
      <c r="U888" s="34"/>
      <c r="V888" s="34"/>
      <c r="W888" s="34"/>
      <c r="X888" s="34"/>
    </row>
    <row r="889" customFormat="false" ht="15.75" hidden="false" customHeight="true" outlineLevel="0" collapsed="false">
      <c r="U889" s="34"/>
      <c r="V889" s="34"/>
      <c r="W889" s="34"/>
      <c r="X889" s="34"/>
    </row>
    <row r="890" customFormat="false" ht="15.75" hidden="false" customHeight="true" outlineLevel="0" collapsed="false">
      <c r="U890" s="34"/>
      <c r="V890" s="34"/>
      <c r="W890" s="34"/>
      <c r="X890" s="34"/>
    </row>
    <row r="891" customFormat="false" ht="15.75" hidden="false" customHeight="true" outlineLevel="0" collapsed="false">
      <c r="U891" s="34"/>
      <c r="V891" s="34"/>
      <c r="W891" s="34"/>
      <c r="X891" s="34"/>
    </row>
    <row r="892" customFormat="false" ht="15.75" hidden="false" customHeight="true" outlineLevel="0" collapsed="false">
      <c r="U892" s="34"/>
      <c r="V892" s="34"/>
      <c r="W892" s="34"/>
      <c r="X892" s="34"/>
    </row>
    <row r="893" customFormat="false" ht="15.75" hidden="false" customHeight="true" outlineLevel="0" collapsed="false">
      <c r="U893" s="34"/>
      <c r="V893" s="34"/>
      <c r="W893" s="34"/>
      <c r="X893" s="34"/>
    </row>
    <row r="894" customFormat="false" ht="15.75" hidden="false" customHeight="true" outlineLevel="0" collapsed="false">
      <c r="U894" s="34"/>
      <c r="V894" s="34"/>
      <c r="W894" s="34"/>
      <c r="X894" s="34"/>
    </row>
    <row r="895" customFormat="false" ht="15.75" hidden="false" customHeight="true" outlineLevel="0" collapsed="false">
      <c r="U895" s="34"/>
      <c r="V895" s="34"/>
      <c r="W895" s="34"/>
      <c r="X895" s="34"/>
    </row>
    <row r="896" customFormat="false" ht="15.75" hidden="false" customHeight="true" outlineLevel="0" collapsed="false">
      <c r="U896" s="34"/>
      <c r="V896" s="34"/>
      <c r="W896" s="34"/>
      <c r="X896" s="34"/>
    </row>
    <row r="897" customFormat="false" ht="15.75" hidden="false" customHeight="true" outlineLevel="0" collapsed="false">
      <c r="U897" s="34"/>
      <c r="V897" s="34"/>
      <c r="W897" s="34"/>
      <c r="X897" s="34"/>
    </row>
    <row r="898" customFormat="false" ht="15.75" hidden="false" customHeight="true" outlineLevel="0" collapsed="false">
      <c r="U898" s="34"/>
      <c r="V898" s="34"/>
      <c r="W898" s="34"/>
      <c r="X898" s="34"/>
    </row>
    <row r="899" customFormat="false" ht="15.75" hidden="false" customHeight="true" outlineLevel="0" collapsed="false">
      <c r="U899" s="34"/>
      <c r="V899" s="34"/>
      <c r="W899" s="34"/>
      <c r="X899" s="34"/>
    </row>
    <row r="900" customFormat="false" ht="15.75" hidden="false" customHeight="true" outlineLevel="0" collapsed="false">
      <c r="U900" s="34"/>
      <c r="V900" s="34"/>
      <c r="W900" s="34"/>
      <c r="X900" s="34"/>
    </row>
    <row r="901" customFormat="false" ht="15.75" hidden="false" customHeight="true" outlineLevel="0" collapsed="false">
      <c r="U901" s="34"/>
      <c r="V901" s="34"/>
      <c r="W901" s="34"/>
      <c r="X901" s="34"/>
    </row>
    <row r="902" customFormat="false" ht="15.75" hidden="false" customHeight="true" outlineLevel="0" collapsed="false">
      <c r="U902" s="34"/>
      <c r="V902" s="34"/>
      <c r="W902" s="34"/>
      <c r="X902" s="34"/>
    </row>
    <row r="903" customFormat="false" ht="15.75" hidden="false" customHeight="true" outlineLevel="0" collapsed="false">
      <c r="U903" s="34"/>
      <c r="V903" s="34"/>
      <c r="W903" s="34"/>
      <c r="X903" s="34"/>
    </row>
    <row r="904" customFormat="false" ht="15.75" hidden="false" customHeight="true" outlineLevel="0" collapsed="false">
      <c r="U904" s="34"/>
      <c r="V904" s="34"/>
      <c r="W904" s="34"/>
      <c r="X904" s="34"/>
    </row>
    <row r="905" customFormat="false" ht="15.75" hidden="false" customHeight="true" outlineLevel="0" collapsed="false">
      <c r="U905" s="34"/>
      <c r="V905" s="34"/>
      <c r="W905" s="34"/>
      <c r="X905" s="34"/>
    </row>
    <row r="906" customFormat="false" ht="15.75" hidden="false" customHeight="true" outlineLevel="0" collapsed="false">
      <c r="U906" s="34"/>
      <c r="V906" s="34"/>
      <c r="W906" s="34"/>
      <c r="X906" s="34"/>
    </row>
    <row r="907" customFormat="false" ht="15.75" hidden="false" customHeight="true" outlineLevel="0" collapsed="false">
      <c r="U907" s="34"/>
      <c r="V907" s="34"/>
      <c r="W907" s="34"/>
      <c r="X907" s="34"/>
    </row>
    <row r="908" customFormat="false" ht="15.75" hidden="false" customHeight="true" outlineLevel="0" collapsed="false">
      <c r="U908" s="34"/>
      <c r="V908" s="34"/>
      <c r="W908" s="34"/>
      <c r="X908" s="34"/>
    </row>
    <row r="909" customFormat="false" ht="15.75" hidden="false" customHeight="true" outlineLevel="0" collapsed="false">
      <c r="U909" s="34"/>
      <c r="V909" s="34"/>
      <c r="W909" s="34"/>
      <c r="X909" s="34"/>
    </row>
    <row r="910" customFormat="false" ht="15.75" hidden="false" customHeight="true" outlineLevel="0" collapsed="false">
      <c r="U910" s="34"/>
      <c r="V910" s="34"/>
      <c r="W910" s="34"/>
      <c r="X910" s="34"/>
    </row>
    <row r="911" customFormat="false" ht="15.75" hidden="false" customHeight="true" outlineLevel="0" collapsed="false">
      <c r="U911" s="34"/>
      <c r="V911" s="34"/>
      <c r="W911" s="34"/>
      <c r="X911" s="34"/>
    </row>
    <row r="912" customFormat="false" ht="15.75" hidden="false" customHeight="true" outlineLevel="0" collapsed="false">
      <c r="U912" s="34"/>
      <c r="V912" s="34"/>
      <c r="W912" s="34"/>
      <c r="X912" s="34"/>
    </row>
    <row r="913" customFormat="false" ht="15.75" hidden="false" customHeight="true" outlineLevel="0" collapsed="false">
      <c r="U913" s="34"/>
      <c r="V913" s="34"/>
      <c r="W913" s="34"/>
      <c r="X913" s="34"/>
    </row>
    <row r="914" customFormat="false" ht="15.75" hidden="false" customHeight="true" outlineLevel="0" collapsed="false">
      <c r="U914" s="34"/>
      <c r="V914" s="34"/>
      <c r="W914" s="34"/>
      <c r="X914" s="34"/>
    </row>
    <row r="915" customFormat="false" ht="15.75" hidden="false" customHeight="true" outlineLevel="0" collapsed="false">
      <c r="U915" s="34"/>
      <c r="V915" s="34"/>
      <c r="W915" s="34"/>
      <c r="X915" s="34"/>
    </row>
    <row r="916" customFormat="false" ht="15.75" hidden="false" customHeight="true" outlineLevel="0" collapsed="false">
      <c r="U916" s="34"/>
      <c r="V916" s="34"/>
      <c r="W916" s="34"/>
      <c r="X916" s="34"/>
    </row>
    <row r="917" customFormat="false" ht="15.75" hidden="false" customHeight="true" outlineLevel="0" collapsed="false">
      <c r="U917" s="34"/>
      <c r="V917" s="34"/>
      <c r="W917" s="34"/>
      <c r="X917" s="34"/>
    </row>
    <row r="918" customFormat="false" ht="15.75" hidden="false" customHeight="true" outlineLevel="0" collapsed="false">
      <c r="U918" s="34"/>
      <c r="V918" s="34"/>
      <c r="W918" s="34"/>
      <c r="X918" s="34"/>
    </row>
    <row r="919" customFormat="false" ht="15.75" hidden="false" customHeight="true" outlineLevel="0" collapsed="false">
      <c r="U919" s="34"/>
      <c r="V919" s="34"/>
      <c r="W919" s="34"/>
      <c r="X919" s="34"/>
    </row>
    <row r="920" customFormat="false" ht="15.75" hidden="false" customHeight="true" outlineLevel="0" collapsed="false">
      <c r="U920" s="34"/>
      <c r="V920" s="34"/>
      <c r="W920" s="34"/>
      <c r="X920" s="34"/>
    </row>
    <row r="921" customFormat="false" ht="15.75" hidden="false" customHeight="true" outlineLevel="0" collapsed="false">
      <c r="U921" s="34"/>
      <c r="V921" s="34"/>
      <c r="W921" s="34"/>
      <c r="X921" s="34"/>
    </row>
    <row r="922" customFormat="false" ht="15.75" hidden="false" customHeight="true" outlineLevel="0" collapsed="false">
      <c r="U922" s="34"/>
      <c r="V922" s="34"/>
      <c r="W922" s="34"/>
      <c r="X922" s="34"/>
    </row>
    <row r="923" customFormat="false" ht="15.75" hidden="false" customHeight="true" outlineLevel="0" collapsed="false">
      <c r="U923" s="34"/>
      <c r="V923" s="34"/>
      <c r="W923" s="34"/>
      <c r="X923" s="34"/>
    </row>
    <row r="924" customFormat="false" ht="15.75" hidden="false" customHeight="true" outlineLevel="0" collapsed="false">
      <c r="U924" s="34"/>
      <c r="V924" s="34"/>
      <c r="W924" s="34"/>
      <c r="X924" s="34"/>
    </row>
    <row r="925" customFormat="false" ht="15.75" hidden="false" customHeight="true" outlineLevel="0" collapsed="false">
      <c r="U925" s="34"/>
      <c r="V925" s="34"/>
      <c r="W925" s="34"/>
      <c r="X925" s="34"/>
    </row>
    <row r="926" customFormat="false" ht="15.75" hidden="false" customHeight="true" outlineLevel="0" collapsed="false">
      <c r="U926" s="34"/>
      <c r="V926" s="34"/>
      <c r="W926" s="34"/>
      <c r="X926" s="34"/>
    </row>
    <row r="927" customFormat="false" ht="15.75" hidden="false" customHeight="true" outlineLevel="0" collapsed="false">
      <c r="U927" s="34"/>
      <c r="V927" s="34"/>
      <c r="W927" s="34"/>
      <c r="X927" s="34"/>
    </row>
    <row r="928" customFormat="false" ht="15.75" hidden="false" customHeight="true" outlineLevel="0" collapsed="false">
      <c r="U928" s="34"/>
      <c r="V928" s="34"/>
      <c r="W928" s="34"/>
      <c r="X928" s="34"/>
    </row>
    <row r="929" customFormat="false" ht="15.75" hidden="false" customHeight="true" outlineLevel="0" collapsed="false">
      <c r="U929" s="34"/>
      <c r="V929" s="34"/>
      <c r="W929" s="34"/>
      <c r="X929" s="34"/>
    </row>
    <row r="930" customFormat="false" ht="15.75" hidden="false" customHeight="true" outlineLevel="0" collapsed="false">
      <c r="U930" s="34"/>
      <c r="V930" s="34"/>
      <c r="W930" s="34"/>
      <c r="X930" s="34"/>
    </row>
    <row r="931" customFormat="false" ht="15.75" hidden="false" customHeight="true" outlineLevel="0" collapsed="false">
      <c r="U931" s="34"/>
      <c r="V931" s="34"/>
      <c r="W931" s="34"/>
      <c r="X931" s="34"/>
    </row>
    <row r="932" customFormat="false" ht="15.75" hidden="false" customHeight="true" outlineLevel="0" collapsed="false">
      <c r="U932" s="34"/>
      <c r="V932" s="34"/>
      <c r="W932" s="34"/>
      <c r="X932" s="34"/>
    </row>
    <row r="933" customFormat="false" ht="15.75" hidden="false" customHeight="true" outlineLevel="0" collapsed="false">
      <c r="U933" s="34"/>
      <c r="V933" s="34"/>
      <c r="W933" s="34"/>
      <c r="X933" s="34"/>
    </row>
    <row r="934" customFormat="false" ht="15.75" hidden="false" customHeight="true" outlineLevel="0" collapsed="false">
      <c r="U934" s="34"/>
      <c r="V934" s="34"/>
      <c r="W934" s="34"/>
      <c r="X934" s="34"/>
    </row>
    <row r="935" customFormat="false" ht="15.75" hidden="false" customHeight="true" outlineLevel="0" collapsed="false">
      <c r="U935" s="34"/>
      <c r="V935" s="34"/>
      <c r="W935" s="34"/>
      <c r="X935" s="34"/>
    </row>
    <row r="936" customFormat="false" ht="15.75" hidden="false" customHeight="true" outlineLevel="0" collapsed="false">
      <c r="U936" s="34"/>
      <c r="V936" s="34"/>
      <c r="W936" s="34"/>
      <c r="X936" s="34"/>
    </row>
    <row r="937" customFormat="false" ht="15.75" hidden="false" customHeight="true" outlineLevel="0" collapsed="false">
      <c r="U937" s="34"/>
      <c r="V937" s="34"/>
      <c r="W937" s="34"/>
      <c r="X937" s="34"/>
    </row>
    <row r="938" customFormat="false" ht="15.75" hidden="false" customHeight="true" outlineLevel="0" collapsed="false">
      <c r="U938" s="34"/>
      <c r="V938" s="34"/>
      <c r="W938" s="34"/>
      <c r="X938" s="34"/>
    </row>
    <row r="939" customFormat="false" ht="15.75" hidden="false" customHeight="true" outlineLevel="0" collapsed="false">
      <c r="U939" s="34"/>
      <c r="V939" s="34"/>
      <c r="W939" s="34"/>
      <c r="X939" s="34"/>
    </row>
    <row r="940" customFormat="false" ht="15.75" hidden="false" customHeight="true" outlineLevel="0" collapsed="false">
      <c r="U940" s="34"/>
      <c r="V940" s="34"/>
      <c r="W940" s="34"/>
      <c r="X940" s="34"/>
    </row>
    <row r="941" customFormat="false" ht="15.75" hidden="false" customHeight="true" outlineLevel="0" collapsed="false">
      <c r="U941" s="34"/>
      <c r="V941" s="34"/>
      <c r="W941" s="34"/>
      <c r="X941" s="34"/>
    </row>
    <row r="942" customFormat="false" ht="15.75" hidden="false" customHeight="true" outlineLevel="0" collapsed="false">
      <c r="U942" s="34"/>
      <c r="V942" s="34"/>
      <c r="W942" s="34"/>
      <c r="X942" s="34"/>
    </row>
    <row r="943" customFormat="false" ht="15.75" hidden="false" customHeight="true" outlineLevel="0" collapsed="false">
      <c r="U943" s="34"/>
      <c r="V943" s="34"/>
      <c r="W943" s="34"/>
      <c r="X943" s="34"/>
    </row>
    <row r="944" customFormat="false" ht="15.75" hidden="false" customHeight="true" outlineLevel="0" collapsed="false">
      <c r="U944" s="34"/>
      <c r="V944" s="34"/>
      <c r="W944" s="34"/>
      <c r="X944" s="34"/>
    </row>
    <row r="945" customFormat="false" ht="15.75" hidden="false" customHeight="true" outlineLevel="0" collapsed="false">
      <c r="U945" s="34"/>
      <c r="V945" s="34"/>
      <c r="W945" s="34"/>
      <c r="X945" s="34"/>
    </row>
    <row r="946" customFormat="false" ht="15.75" hidden="false" customHeight="true" outlineLevel="0" collapsed="false">
      <c r="U946" s="34"/>
      <c r="V946" s="34"/>
      <c r="W946" s="34"/>
      <c r="X946" s="34"/>
    </row>
    <row r="947" customFormat="false" ht="15.75" hidden="false" customHeight="true" outlineLevel="0" collapsed="false">
      <c r="U947" s="34"/>
      <c r="V947" s="34"/>
      <c r="W947" s="34"/>
      <c r="X947" s="34"/>
    </row>
    <row r="948" customFormat="false" ht="15.75" hidden="false" customHeight="true" outlineLevel="0" collapsed="false">
      <c r="U948" s="34"/>
      <c r="V948" s="34"/>
      <c r="W948" s="34"/>
      <c r="X948" s="34"/>
    </row>
    <row r="949" customFormat="false" ht="15.75" hidden="false" customHeight="true" outlineLevel="0" collapsed="false">
      <c r="U949" s="34"/>
      <c r="V949" s="34"/>
      <c r="W949" s="34"/>
      <c r="X949" s="34"/>
    </row>
    <row r="950" customFormat="false" ht="15.75" hidden="false" customHeight="true" outlineLevel="0" collapsed="false">
      <c r="U950" s="34"/>
      <c r="V950" s="34"/>
      <c r="W950" s="34"/>
      <c r="X950" s="34"/>
    </row>
    <row r="951" customFormat="false" ht="15.75" hidden="false" customHeight="true" outlineLevel="0" collapsed="false">
      <c r="U951" s="34"/>
      <c r="V951" s="34"/>
      <c r="W951" s="34"/>
      <c r="X951" s="34"/>
    </row>
    <row r="952" customFormat="false" ht="15.75" hidden="false" customHeight="true" outlineLevel="0" collapsed="false">
      <c r="U952" s="34"/>
      <c r="V952" s="34"/>
      <c r="W952" s="34"/>
      <c r="X952" s="34"/>
    </row>
    <row r="953" customFormat="false" ht="15.75" hidden="false" customHeight="true" outlineLevel="0" collapsed="false">
      <c r="U953" s="34"/>
      <c r="V953" s="34"/>
      <c r="W953" s="34"/>
      <c r="X953" s="34"/>
    </row>
    <row r="954" customFormat="false" ht="15.75" hidden="false" customHeight="true" outlineLevel="0" collapsed="false">
      <c r="U954" s="34"/>
      <c r="V954" s="34"/>
      <c r="W954" s="34"/>
      <c r="X954" s="34"/>
    </row>
    <row r="955" customFormat="false" ht="15.75" hidden="false" customHeight="true" outlineLevel="0" collapsed="false">
      <c r="U955" s="34"/>
      <c r="V955" s="34"/>
      <c r="W955" s="34"/>
      <c r="X955" s="34"/>
    </row>
    <row r="956" customFormat="false" ht="15.75" hidden="false" customHeight="true" outlineLevel="0" collapsed="false">
      <c r="U956" s="34"/>
      <c r="V956" s="34"/>
      <c r="W956" s="34"/>
      <c r="X956" s="34"/>
    </row>
    <row r="957" customFormat="false" ht="15.75" hidden="false" customHeight="true" outlineLevel="0" collapsed="false">
      <c r="U957" s="34"/>
      <c r="V957" s="34"/>
      <c r="W957" s="34"/>
      <c r="X957" s="34"/>
    </row>
    <row r="958" customFormat="false" ht="15.75" hidden="false" customHeight="true" outlineLevel="0" collapsed="false">
      <c r="U958" s="34"/>
      <c r="V958" s="34"/>
      <c r="W958" s="34"/>
      <c r="X958" s="34"/>
    </row>
    <row r="959" customFormat="false" ht="15.75" hidden="false" customHeight="true" outlineLevel="0" collapsed="false">
      <c r="U959" s="34"/>
      <c r="V959" s="34"/>
      <c r="W959" s="34"/>
      <c r="X959" s="34"/>
    </row>
    <row r="960" customFormat="false" ht="15.75" hidden="false" customHeight="true" outlineLevel="0" collapsed="false">
      <c r="U960" s="34"/>
      <c r="V960" s="34"/>
      <c r="W960" s="34"/>
      <c r="X960" s="34"/>
    </row>
    <row r="961" customFormat="false" ht="15.75" hidden="false" customHeight="true" outlineLevel="0" collapsed="false">
      <c r="U961" s="34"/>
      <c r="V961" s="34"/>
      <c r="W961" s="34"/>
      <c r="X961" s="34"/>
    </row>
    <row r="962" customFormat="false" ht="15.75" hidden="false" customHeight="true" outlineLevel="0" collapsed="false">
      <c r="U962" s="34"/>
      <c r="V962" s="34"/>
      <c r="W962" s="34"/>
      <c r="X962" s="34"/>
    </row>
    <row r="963" customFormat="false" ht="15.75" hidden="false" customHeight="true" outlineLevel="0" collapsed="false">
      <c r="U963" s="34"/>
      <c r="V963" s="34"/>
      <c r="W963" s="34"/>
      <c r="X963" s="34"/>
    </row>
    <row r="964" customFormat="false" ht="15.75" hidden="false" customHeight="true" outlineLevel="0" collapsed="false">
      <c r="U964" s="34"/>
      <c r="V964" s="34"/>
      <c r="W964" s="34"/>
      <c r="X964" s="34"/>
    </row>
    <row r="965" customFormat="false" ht="15.75" hidden="false" customHeight="true" outlineLevel="0" collapsed="false">
      <c r="U965" s="34"/>
      <c r="V965" s="34"/>
      <c r="W965" s="34"/>
      <c r="X965" s="34"/>
    </row>
    <row r="966" customFormat="false" ht="15.75" hidden="false" customHeight="true" outlineLevel="0" collapsed="false">
      <c r="U966" s="34"/>
      <c r="V966" s="34"/>
      <c r="W966" s="34"/>
      <c r="X966" s="34"/>
    </row>
    <row r="967" customFormat="false" ht="15.75" hidden="false" customHeight="true" outlineLevel="0" collapsed="false">
      <c r="U967" s="34"/>
      <c r="V967" s="34"/>
      <c r="W967" s="34"/>
      <c r="X967" s="34"/>
    </row>
    <row r="968" customFormat="false" ht="15.75" hidden="false" customHeight="true" outlineLevel="0" collapsed="false">
      <c r="U968" s="34"/>
      <c r="V968" s="34"/>
      <c r="W968" s="34"/>
      <c r="X968" s="34"/>
    </row>
    <row r="969" customFormat="false" ht="15.75" hidden="false" customHeight="true" outlineLevel="0" collapsed="false">
      <c r="U969" s="34"/>
      <c r="V969" s="34"/>
      <c r="W969" s="34"/>
      <c r="X969" s="34"/>
    </row>
    <row r="970" customFormat="false" ht="15.75" hidden="false" customHeight="true" outlineLevel="0" collapsed="false">
      <c r="U970" s="34"/>
      <c r="V970" s="34"/>
      <c r="W970" s="34"/>
      <c r="X970" s="34"/>
    </row>
    <row r="971" customFormat="false" ht="15.75" hidden="false" customHeight="true" outlineLevel="0" collapsed="false">
      <c r="U971" s="34"/>
      <c r="V971" s="34"/>
      <c r="W971" s="34"/>
      <c r="X971" s="34"/>
    </row>
    <row r="972" customFormat="false" ht="15.75" hidden="false" customHeight="true" outlineLevel="0" collapsed="false">
      <c r="U972" s="34"/>
      <c r="V972" s="34"/>
      <c r="W972" s="34"/>
      <c r="X972" s="34"/>
    </row>
    <row r="973" customFormat="false" ht="15.75" hidden="false" customHeight="true" outlineLevel="0" collapsed="false">
      <c r="U973" s="34"/>
      <c r="V973" s="34"/>
      <c r="W973" s="34"/>
      <c r="X973" s="34"/>
    </row>
    <row r="974" customFormat="false" ht="15.75" hidden="false" customHeight="true" outlineLevel="0" collapsed="false">
      <c r="U974" s="34"/>
      <c r="V974" s="34"/>
      <c r="W974" s="34"/>
      <c r="X974" s="34"/>
    </row>
    <row r="975" customFormat="false" ht="15.75" hidden="false" customHeight="true" outlineLevel="0" collapsed="false">
      <c r="U975" s="34"/>
      <c r="V975" s="34"/>
      <c r="W975" s="34"/>
      <c r="X975" s="34"/>
    </row>
    <row r="976" customFormat="false" ht="15.75" hidden="false" customHeight="true" outlineLevel="0" collapsed="false">
      <c r="U976" s="34"/>
      <c r="V976" s="34"/>
      <c r="W976" s="34"/>
      <c r="X976" s="34"/>
    </row>
    <row r="977" customFormat="false" ht="15.75" hidden="false" customHeight="true" outlineLevel="0" collapsed="false">
      <c r="U977" s="34"/>
      <c r="V977" s="34"/>
      <c r="W977" s="34"/>
      <c r="X977" s="34"/>
    </row>
    <row r="978" customFormat="false" ht="15.75" hidden="false" customHeight="true" outlineLevel="0" collapsed="false">
      <c r="U978" s="34"/>
      <c r="V978" s="34"/>
      <c r="W978" s="34"/>
      <c r="X978" s="34"/>
    </row>
    <row r="979" customFormat="false" ht="15.75" hidden="false" customHeight="true" outlineLevel="0" collapsed="false">
      <c r="U979" s="34"/>
      <c r="V979" s="34"/>
      <c r="W979" s="34"/>
      <c r="X979" s="34"/>
    </row>
    <row r="980" customFormat="false" ht="15.75" hidden="false" customHeight="true" outlineLevel="0" collapsed="false">
      <c r="U980" s="34"/>
      <c r="V980" s="34"/>
      <c r="W980" s="34"/>
      <c r="X980" s="34"/>
    </row>
    <row r="981" customFormat="false" ht="15.75" hidden="false" customHeight="true" outlineLevel="0" collapsed="false">
      <c r="U981" s="34"/>
      <c r="V981" s="34"/>
      <c r="W981" s="34"/>
      <c r="X981" s="34"/>
    </row>
    <row r="982" customFormat="false" ht="15.75" hidden="false" customHeight="true" outlineLevel="0" collapsed="false">
      <c r="U982" s="34"/>
      <c r="V982" s="34"/>
      <c r="W982" s="34"/>
      <c r="X982" s="34"/>
    </row>
    <row r="983" customFormat="false" ht="15.75" hidden="false" customHeight="true" outlineLevel="0" collapsed="false">
      <c r="U983" s="34"/>
      <c r="V983" s="34"/>
      <c r="W983" s="34"/>
      <c r="X983" s="34"/>
    </row>
    <row r="984" customFormat="false" ht="15.75" hidden="false" customHeight="true" outlineLevel="0" collapsed="false">
      <c r="U984" s="34"/>
      <c r="V984" s="34"/>
      <c r="W984" s="34"/>
      <c r="X984" s="34"/>
    </row>
    <row r="985" customFormat="false" ht="15.75" hidden="false" customHeight="true" outlineLevel="0" collapsed="false">
      <c r="U985" s="34"/>
      <c r="V985" s="34"/>
      <c r="W985" s="34"/>
      <c r="X985" s="34"/>
    </row>
    <row r="986" customFormat="false" ht="15.75" hidden="false" customHeight="true" outlineLevel="0" collapsed="false">
      <c r="U986" s="34"/>
      <c r="V986" s="34"/>
      <c r="W986" s="34"/>
      <c r="X986" s="34"/>
    </row>
    <row r="987" customFormat="false" ht="15.75" hidden="false" customHeight="true" outlineLevel="0" collapsed="false">
      <c r="U987" s="34"/>
      <c r="V987" s="34"/>
      <c r="W987" s="34"/>
      <c r="X987" s="34"/>
    </row>
    <row r="988" customFormat="false" ht="15.75" hidden="false" customHeight="true" outlineLevel="0" collapsed="false">
      <c r="U988" s="34"/>
      <c r="V988" s="34"/>
      <c r="W988" s="34"/>
      <c r="X988" s="34"/>
    </row>
    <row r="989" customFormat="false" ht="15.75" hidden="false" customHeight="true" outlineLevel="0" collapsed="false">
      <c r="U989" s="34"/>
      <c r="V989" s="34"/>
      <c r="W989" s="34"/>
      <c r="X989" s="34"/>
    </row>
    <row r="990" customFormat="false" ht="15.75" hidden="false" customHeight="true" outlineLevel="0" collapsed="false">
      <c r="U990" s="34"/>
      <c r="V990" s="34"/>
      <c r="W990" s="34"/>
      <c r="X990" s="34"/>
    </row>
    <row r="991" customFormat="false" ht="15.75" hidden="false" customHeight="true" outlineLevel="0" collapsed="false">
      <c r="U991" s="34"/>
      <c r="V991" s="34"/>
      <c r="W991" s="34"/>
      <c r="X991" s="34"/>
    </row>
    <row r="992" customFormat="false" ht="15.75" hidden="false" customHeight="true" outlineLevel="0" collapsed="false">
      <c r="U992" s="34"/>
      <c r="V992" s="34"/>
      <c r="W992" s="34"/>
      <c r="X992" s="34"/>
    </row>
    <row r="993" customFormat="false" ht="15.75" hidden="false" customHeight="true" outlineLevel="0" collapsed="false">
      <c r="U993" s="34"/>
      <c r="V993" s="34"/>
      <c r="W993" s="34"/>
      <c r="X993" s="34"/>
    </row>
    <row r="994" customFormat="false" ht="15.75" hidden="false" customHeight="true" outlineLevel="0" collapsed="false">
      <c r="U994" s="34"/>
      <c r="V994" s="34"/>
      <c r="W994" s="34"/>
      <c r="X994" s="34"/>
    </row>
    <row r="995" customFormat="false" ht="15.75" hidden="false" customHeight="true" outlineLevel="0" collapsed="false">
      <c r="U995" s="34"/>
      <c r="V995" s="34"/>
      <c r="W995" s="34"/>
      <c r="X995" s="34"/>
    </row>
    <row r="996" customFormat="false" ht="15.75" hidden="false" customHeight="true" outlineLevel="0" collapsed="false">
      <c r="U996" s="34"/>
      <c r="V996" s="34"/>
      <c r="W996" s="34"/>
      <c r="X996" s="34"/>
    </row>
    <row r="997" customFormat="false" ht="15.75" hidden="false" customHeight="true" outlineLevel="0" collapsed="false">
      <c r="U997" s="34"/>
      <c r="V997" s="34"/>
      <c r="W997" s="34"/>
      <c r="X997" s="34"/>
    </row>
    <row r="998" customFormat="false" ht="15.75" hidden="false" customHeight="true" outlineLevel="0" collapsed="false">
      <c r="U998" s="34"/>
      <c r="V998" s="34"/>
      <c r="W998" s="34"/>
      <c r="X998" s="34"/>
    </row>
    <row r="999" customFormat="false" ht="15.75" hidden="false" customHeight="true" outlineLevel="0" collapsed="false">
      <c r="U999" s="34"/>
      <c r="V999" s="34"/>
      <c r="W999" s="34"/>
      <c r="X999" s="34"/>
    </row>
    <row r="1000" customFormat="false" ht="15.75" hidden="false" customHeight="true" outlineLevel="0" collapsed="false">
      <c r="U1000" s="34"/>
      <c r="V1000" s="34"/>
      <c r="W1000" s="34"/>
      <c r="X1000" s="34"/>
    </row>
    <row r="1001" customFormat="false" ht="15.75" hidden="false" customHeight="true" outlineLevel="0" collapsed="false">
      <c r="U1001" s="34"/>
      <c r="V1001" s="34"/>
      <c r="W1001" s="34"/>
      <c r="X1001" s="34"/>
    </row>
    <row r="1002" customFormat="false" ht="15.75" hidden="false" customHeight="true" outlineLevel="0" collapsed="false">
      <c r="U1002" s="34"/>
      <c r="V1002" s="34"/>
      <c r="W1002" s="34"/>
      <c r="X1002" s="34"/>
    </row>
    <row r="1003" customFormat="false" ht="15.75" hidden="false" customHeight="true" outlineLevel="0" collapsed="false">
      <c r="U1003" s="34"/>
      <c r="V1003" s="34"/>
      <c r="W1003" s="34"/>
      <c r="X1003" s="34"/>
    </row>
    <row r="1004" customFormat="false" ht="15.75" hidden="false" customHeight="true" outlineLevel="0" collapsed="false">
      <c r="U1004" s="34"/>
      <c r="V1004" s="34"/>
      <c r="W1004" s="34"/>
      <c r="X1004" s="34"/>
    </row>
    <row r="1005" customFormat="false" ht="15.75" hidden="false" customHeight="true" outlineLevel="0" collapsed="false">
      <c r="U1005" s="34"/>
      <c r="V1005" s="34"/>
      <c r="W1005" s="34"/>
      <c r="X1005" s="34"/>
    </row>
    <row r="1006" customFormat="false" ht="15.75" hidden="false" customHeight="true" outlineLevel="0" collapsed="false">
      <c r="U1006" s="34"/>
      <c r="V1006" s="34"/>
      <c r="W1006" s="34"/>
      <c r="X1006" s="34"/>
    </row>
    <row r="1007" customFormat="false" ht="15.75" hidden="false" customHeight="true" outlineLevel="0" collapsed="false">
      <c r="U1007" s="34"/>
      <c r="V1007" s="34"/>
      <c r="W1007" s="34"/>
      <c r="X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15"/>
    <col collapsed="false" customWidth="true" hidden="false" outlineLevel="0" max="2" min="2" style="34" width="56.9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34" t="s">
        <v>624</v>
      </c>
      <c r="W2" s="34"/>
      <c r="X2" s="34"/>
      <c r="Y2" s="34"/>
    </row>
    <row r="3" customFormat="false" ht="12.75" hidden="false" customHeight="true" outlineLevel="0" collapsed="false">
      <c r="A3" s="34" t="s">
        <v>625</v>
      </c>
      <c r="W3" s="34"/>
      <c r="X3" s="34"/>
      <c r="Y3" s="34"/>
    </row>
    <row r="4" customFormat="false" ht="12.75" hidden="false" customHeight="true" outlineLevel="0" collapsed="false">
      <c r="A4" s="34" t="s">
        <v>626</v>
      </c>
      <c r="B4" s="34" t="s">
        <v>627</v>
      </c>
      <c r="W4" s="34"/>
      <c r="X4" s="34"/>
      <c r="Y4" s="34"/>
    </row>
    <row r="5" customFormat="false" ht="12.75" hidden="false" customHeight="true" outlineLevel="0" collapsed="false">
      <c r="A5" s="34" t="s">
        <v>628</v>
      </c>
      <c r="B5" s="34" t="s">
        <v>629</v>
      </c>
      <c r="W5" s="34"/>
      <c r="X5" s="34"/>
      <c r="Y5" s="34"/>
    </row>
    <row r="6" customFormat="false" ht="12.75" hidden="false" customHeight="true" outlineLevel="0" collapsed="false">
      <c r="A6" s="34" t="s">
        <v>630</v>
      </c>
      <c r="W6" s="34"/>
      <c r="X6" s="34"/>
      <c r="Y6" s="34"/>
    </row>
    <row r="7" customFormat="false" ht="12.75" hidden="false" customHeight="true" outlineLevel="0" collapsed="false">
      <c r="A7" s="34" t="s">
        <v>433</v>
      </c>
      <c r="W7" s="34"/>
      <c r="X7" s="34"/>
      <c r="Y7" s="34"/>
    </row>
    <row r="8" customFormat="false" ht="12.75" hidden="false" customHeight="true" outlineLevel="0" collapsed="false">
      <c r="A8" s="34" t="s">
        <v>178</v>
      </c>
      <c r="B8" s="34" t="s">
        <v>425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A33" s="3"/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7.68"/>
    <col collapsed="false" customWidth="true" hidden="false" outlineLevel="0" max="2" min="2" style="34" width="63.7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42" t="s">
        <v>631</v>
      </c>
      <c r="B2" s="61"/>
      <c r="W2" s="34"/>
      <c r="X2" s="34"/>
      <c r="Y2" s="34"/>
    </row>
    <row r="3" customFormat="false" ht="12.75" hidden="false" customHeight="true" outlineLevel="0" collapsed="false">
      <c r="A3" s="42" t="s">
        <v>632</v>
      </c>
      <c r="B3" s="61"/>
      <c r="W3" s="34"/>
      <c r="X3" s="34"/>
      <c r="Y3" s="34"/>
    </row>
    <row r="4" customFormat="false" ht="12.75" hidden="false" customHeight="true" outlineLevel="0" collapsed="false">
      <c r="A4" s="42" t="s">
        <v>633</v>
      </c>
      <c r="B4" s="34" t="s">
        <v>634</v>
      </c>
      <c r="W4" s="34"/>
      <c r="X4" s="34"/>
      <c r="Y4" s="34"/>
    </row>
    <row r="5" customFormat="false" ht="12.75" hidden="false" customHeight="true" outlineLevel="0" collapsed="false">
      <c r="A5" s="34" t="s">
        <v>635</v>
      </c>
      <c r="B5" s="34" t="s">
        <v>636</v>
      </c>
      <c r="W5" s="34"/>
      <c r="X5" s="34"/>
      <c r="Y5" s="34"/>
    </row>
    <row r="6" customFormat="false" ht="12.75" hidden="false" customHeight="true" outlineLevel="0" collapsed="false">
      <c r="A6" s="34" t="s">
        <v>637</v>
      </c>
      <c r="B6" s="34" t="s">
        <v>638</v>
      </c>
      <c r="W6" s="34"/>
      <c r="X6" s="34"/>
      <c r="Y6" s="34"/>
    </row>
    <row r="7" customFormat="false" ht="12.75" hidden="false" customHeight="true" outlineLevel="0" collapsed="false">
      <c r="A7" s="34" t="s">
        <v>639</v>
      </c>
      <c r="B7" s="34" t="s">
        <v>640</v>
      </c>
      <c r="W7" s="34"/>
      <c r="X7" s="34"/>
      <c r="Y7" s="34"/>
    </row>
    <row r="8" customFormat="false" ht="12.75" hidden="false" customHeight="true" outlineLevel="0" collapsed="false">
      <c r="A8" s="34" t="s">
        <v>641</v>
      </c>
      <c r="B8" s="34" t="s">
        <v>642</v>
      </c>
      <c r="W8" s="34"/>
      <c r="X8" s="34"/>
      <c r="Y8" s="34"/>
    </row>
    <row r="9" customFormat="false" ht="12.75" hidden="false" customHeight="true" outlineLevel="0" collapsed="false">
      <c r="A9" s="34" t="s">
        <v>643</v>
      </c>
      <c r="B9" s="34" t="s">
        <v>644</v>
      </c>
      <c r="W9" s="34"/>
      <c r="X9" s="34"/>
      <c r="Y9" s="34"/>
    </row>
    <row r="10" customFormat="false" ht="12.75" hidden="false" customHeight="true" outlineLevel="0" collapsed="false">
      <c r="A10" s="34" t="s">
        <v>248</v>
      </c>
      <c r="B10" s="34" t="s">
        <v>645</v>
      </c>
      <c r="W10" s="34"/>
      <c r="X10" s="34"/>
      <c r="Y10" s="34"/>
    </row>
    <row r="11" customFormat="false" ht="12.75" hidden="false" customHeight="true" outlineLevel="0" collapsed="false">
      <c r="A11" s="34" t="s">
        <v>646</v>
      </c>
      <c r="W11" s="34"/>
      <c r="X11" s="34"/>
      <c r="Y11" s="34"/>
    </row>
    <row r="12" customFormat="false" ht="12.75" hidden="false" customHeight="true" outlineLevel="0" collapsed="false">
      <c r="A12" s="34" t="s">
        <v>647</v>
      </c>
      <c r="W12" s="34"/>
      <c r="X12" s="34"/>
      <c r="Y12" s="34"/>
    </row>
    <row r="13" customFormat="false" ht="12.75" hidden="false" customHeight="true" outlineLevel="0" collapsed="false">
      <c r="A13" s="34" t="s">
        <v>443</v>
      </c>
      <c r="B13" s="34" t="s">
        <v>648</v>
      </c>
      <c r="W13" s="34"/>
      <c r="X13" s="34"/>
      <c r="Y13" s="34"/>
    </row>
    <row r="14" customFormat="false" ht="12.75" hidden="false" customHeight="true" outlineLevel="0" collapsed="false">
      <c r="A14" s="34" t="s">
        <v>649</v>
      </c>
      <c r="W14" s="34"/>
      <c r="X14" s="34"/>
      <c r="Y14" s="34"/>
    </row>
    <row r="15" customFormat="false" ht="12.75" hidden="false" customHeight="true" outlineLevel="0" collapsed="false">
      <c r="A15" s="34" t="s">
        <v>197</v>
      </c>
      <c r="W15" s="34"/>
      <c r="X15" s="34"/>
      <c r="Y15" s="34"/>
    </row>
    <row r="16" customFormat="false" ht="12.75" hidden="false" customHeight="true" outlineLevel="0" collapsed="false">
      <c r="A16" s="34" t="s">
        <v>650</v>
      </c>
      <c r="W16" s="34"/>
      <c r="X16" s="34"/>
      <c r="Y16" s="34"/>
    </row>
    <row r="17" customFormat="false" ht="12.75" hidden="false" customHeight="true" outlineLevel="0" collapsed="false">
      <c r="A17" s="34" t="s">
        <v>651</v>
      </c>
      <c r="W17" s="34"/>
      <c r="X17" s="34"/>
      <c r="Y17" s="34"/>
    </row>
    <row r="18" customFormat="false" ht="12.75" hidden="false" customHeight="true" outlineLevel="0" collapsed="false">
      <c r="A18" s="34" t="s">
        <v>652</v>
      </c>
      <c r="W18" s="34"/>
      <c r="X18" s="34"/>
      <c r="Y18" s="34"/>
    </row>
    <row r="19" customFormat="false" ht="12.75" hidden="false" customHeight="true" outlineLevel="0" collapsed="false">
      <c r="A19" s="34" t="s">
        <v>653</v>
      </c>
      <c r="W19" s="34"/>
      <c r="X19" s="34"/>
      <c r="Y19" s="34"/>
    </row>
    <row r="20" customFormat="false" ht="12.75" hidden="false" customHeight="true" outlineLevel="0" collapsed="false">
      <c r="A20" s="34" t="s">
        <v>654</v>
      </c>
      <c r="W20" s="34"/>
      <c r="X20" s="34"/>
      <c r="Y20" s="34"/>
    </row>
    <row r="21" customFormat="false" ht="12.75" hidden="false" customHeight="true" outlineLevel="0" collapsed="false">
      <c r="A21" s="34" t="s">
        <v>655</v>
      </c>
      <c r="B21" s="34" t="s">
        <v>656</v>
      </c>
      <c r="W21" s="34"/>
      <c r="X21" s="34"/>
      <c r="Y21" s="34"/>
    </row>
    <row r="22" customFormat="false" ht="12.75" hidden="false" customHeight="true" outlineLevel="0" collapsed="false">
      <c r="A22" s="34" t="s">
        <v>433</v>
      </c>
      <c r="B22" s="34" t="s">
        <v>657</v>
      </c>
      <c r="W22" s="34"/>
      <c r="X22" s="34"/>
      <c r="Y22" s="34"/>
    </row>
    <row r="23" customFormat="false" ht="12.75" hidden="false" customHeight="true" outlineLevel="0" collapsed="false">
      <c r="A23" s="34" t="s">
        <v>178</v>
      </c>
      <c r="B23" s="34" t="s">
        <v>425</v>
      </c>
      <c r="W23" s="34"/>
      <c r="X23" s="34"/>
      <c r="Y23" s="34"/>
    </row>
    <row r="24" customFormat="false" ht="12.75" hidden="false" customHeight="true" outlineLevel="0" collapsed="false">
      <c r="A24" s="34" t="s">
        <v>92</v>
      </c>
      <c r="B24" s="34" t="s">
        <v>92</v>
      </c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6.29"/>
    <col collapsed="false" customWidth="true" hidden="false" outlineLevel="0" max="2" min="2" style="34" width="45.2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417</v>
      </c>
      <c r="B1" s="61" t="s">
        <v>5</v>
      </c>
      <c r="C1" s="62" t="s">
        <v>418</v>
      </c>
      <c r="W1" s="34"/>
      <c r="X1" s="34"/>
      <c r="Y1" s="34"/>
    </row>
    <row r="2" customFormat="false" ht="12.75" hidden="false" customHeight="true" outlineLevel="0" collapsed="false">
      <c r="A2" s="34" t="s">
        <v>658</v>
      </c>
      <c r="B2" s="34" t="s">
        <v>659</v>
      </c>
      <c r="W2" s="34"/>
      <c r="X2" s="34"/>
      <c r="Y2" s="34"/>
    </row>
    <row r="3" customFormat="false" ht="12.75" hidden="false" customHeight="true" outlineLevel="0" collapsed="false">
      <c r="A3" s="34" t="s">
        <v>660</v>
      </c>
      <c r="W3" s="34"/>
      <c r="X3" s="34"/>
      <c r="Y3" s="34"/>
    </row>
    <row r="4" customFormat="false" ht="12.75" hidden="false" customHeight="true" outlineLevel="0" collapsed="false">
      <c r="A4" s="34" t="s">
        <v>661</v>
      </c>
      <c r="W4" s="34"/>
      <c r="X4" s="34"/>
      <c r="Y4" s="34"/>
    </row>
    <row r="5" customFormat="false" ht="12.75" hidden="false" customHeight="true" outlineLevel="0" collapsed="false">
      <c r="A5" s="34" t="s">
        <v>406</v>
      </c>
      <c r="W5" s="34"/>
      <c r="X5" s="34"/>
      <c r="Y5" s="34"/>
    </row>
    <row r="6" customFormat="false" ht="12.75" hidden="false" customHeight="true" outlineLevel="0" collapsed="false">
      <c r="A6" s="34" t="s">
        <v>433</v>
      </c>
      <c r="B6" s="34" t="s">
        <v>657</v>
      </c>
      <c r="W6" s="34"/>
      <c r="X6" s="34"/>
      <c r="Y6" s="34"/>
    </row>
    <row r="7" customFormat="false" ht="12.75" hidden="false" customHeight="true" outlineLevel="0" collapsed="false">
      <c r="A7" s="34" t="s">
        <v>178</v>
      </c>
      <c r="B7" s="34" t="s">
        <v>425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A14" s="3"/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5.75" hidden="false" customHeight="true" outlineLevel="0" collapsed="false">
      <c r="W194" s="34"/>
      <c r="X194" s="34"/>
      <c r="Y194" s="34"/>
    </row>
    <row r="195" customFormat="false" ht="15.75" hidden="false" customHeight="true" outlineLevel="0" collapsed="false">
      <c r="W195" s="34"/>
      <c r="X195" s="34"/>
      <c r="Y195" s="34"/>
    </row>
    <row r="196" customFormat="false" ht="15.75" hidden="false" customHeight="true" outlineLevel="0" collapsed="false">
      <c r="W196" s="34"/>
      <c r="X196" s="34"/>
      <c r="Y196" s="34"/>
    </row>
    <row r="197" customFormat="false" ht="15.75" hidden="false" customHeight="true" outlineLevel="0" collapsed="false">
      <c r="W197" s="34"/>
      <c r="X197" s="34"/>
      <c r="Y197" s="34"/>
    </row>
    <row r="198" customFormat="false" ht="15.75" hidden="false" customHeight="true" outlineLevel="0" collapsed="false">
      <c r="W198" s="34"/>
      <c r="X198" s="34"/>
      <c r="Y198" s="34"/>
    </row>
    <row r="199" customFormat="false" ht="15.75" hidden="false" customHeight="true" outlineLevel="0" collapsed="false">
      <c r="W199" s="34"/>
      <c r="X199" s="34"/>
      <c r="Y199" s="34"/>
    </row>
    <row r="200" customFormat="false" ht="15.75" hidden="false" customHeight="true" outlineLevel="0" collapsed="false">
      <c r="W200" s="34"/>
      <c r="X200" s="34"/>
      <c r="Y200" s="34"/>
    </row>
    <row r="201" customFormat="false" ht="15.75" hidden="false" customHeight="true" outlineLevel="0" collapsed="false">
      <c r="W201" s="34"/>
      <c r="X201" s="34"/>
      <c r="Y201" s="34"/>
    </row>
    <row r="202" customFormat="false" ht="15.75" hidden="false" customHeight="true" outlineLevel="0" collapsed="false">
      <c r="W202" s="34"/>
      <c r="X202" s="34"/>
      <c r="Y202" s="34"/>
    </row>
    <row r="203" customFormat="false" ht="15.75" hidden="false" customHeight="true" outlineLevel="0" collapsed="false">
      <c r="W203" s="34"/>
      <c r="X203" s="34"/>
      <c r="Y203" s="34"/>
    </row>
    <row r="204" customFormat="false" ht="15.75" hidden="false" customHeight="true" outlineLevel="0" collapsed="false">
      <c r="W204" s="34"/>
      <c r="X204" s="34"/>
      <c r="Y204" s="34"/>
    </row>
    <row r="205" customFormat="false" ht="15.75" hidden="false" customHeight="true" outlineLevel="0" collapsed="false">
      <c r="W205" s="34"/>
      <c r="X205" s="34"/>
      <c r="Y205" s="34"/>
    </row>
    <row r="206" customFormat="false" ht="15.75" hidden="false" customHeight="true" outlineLevel="0" collapsed="false">
      <c r="W206" s="34"/>
      <c r="X206" s="34"/>
      <c r="Y206" s="34"/>
    </row>
    <row r="207" customFormat="false" ht="15.75" hidden="false" customHeight="true" outlineLevel="0" collapsed="false">
      <c r="W207" s="34"/>
      <c r="X207" s="34"/>
      <c r="Y207" s="34"/>
    </row>
    <row r="208" customFormat="false" ht="15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3.09"/>
    <col collapsed="false" customWidth="true" hidden="false" outlineLevel="0" max="2" min="2" style="34" width="16.55"/>
    <col collapsed="false" customWidth="true" hidden="false" outlineLevel="0" max="5" min="3" style="34" width="13.71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417</v>
      </c>
      <c r="B1" s="65" t="s">
        <v>5</v>
      </c>
      <c r="C1" s="62" t="s">
        <v>418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customFormat="false" ht="12.75" hidden="false" customHeight="true" outlineLevel="0" collapsed="false">
      <c r="A2" s="34" t="s">
        <v>304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12.75" hidden="false" customHeight="true" outlineLevel="0" collapsed="false">
      <c r="A3" s="34" t="s">
        <v>305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12.75" hidden="false" customHeight="true" outlineLevel="0" collapsed="false">
      <c r="A4" s="34" t="s">
        <v>662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12.75" hidden="false" customHeight="true" outlineLevel="0" collapsed="false">
      <c r="A5" s="34" t="s">
        <v>663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12.75" hidden="false" customHeight="true" outlineLevel="0" collapsed="false">
      <c r="A6" s="34" t="s">
        <v>664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12.75" hidden="false" customHeight="true" outlineLevel="0" collapsed="false">
      <c r="A7" s="34" t="s">
        <v>665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customFormat="false" ht="12.75" hidden="false" customHeight="true" outlineLevel="0" collapsed="false">
      <c r="A8" s="34" t="s">
        <v>173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customFormat="false" ht="12.75" hidden="false" customHeight="true" outlineLevel="0" collapsed="false">
      <c r="A9" s="34" t="s">
        <v>433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customFormat="false" ht="12.75" hidden="false" customHeight="true" outlineLevel="0" collapsed="false">
      <c r="A10" s="34" t="s">
        <v>178</v>
      </c>
      <c r="B10" s="34" t="s">
        <v>425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customFormat="false" ht="12.75" hidden="false" customHeight="true" outlineLevel="0" collapsed="false">
      <c r="A11" s="34" t="s">
        <v>92</v>
      </c>
      <c r="B11" s="34" t="s">
        <v>92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14.47"/>
  </cols>
  <sheetData>
    <row r="1" customFormat="false" ht="12.75" hidden="false" customHeight="false" outlineLevel="0" collapsed="false">
      <c r="A1" s="34" t="s">
        <v>241</v>
      </c>
      <c r="C1" s="62" t="s">
        <v>418</v>
      </c>
    </row>
    <row r="2" customFormat="false" ht="12.75" hidden="false" customHeight="false" outlineLevel="0" collapsed="false">
      <c r="A2" s="34" t="s">
        <v>666</v>
      </c>
    </row>
    <row r="3" customFormat="false" ht="12.75" hidden="false" customHeight="false" outlineLevel="0" collapsed="false">
      <c r="A3" s="34" t="s">
        <v>667</v>
      </c>
    </row>
    <row r="4" customFormat="false" ht="12.75" hidden="false" customHeight="false" outlineLevel="0" collapsed="false">
      <c r="A4" s="34" t="s">
        <v>598</v>
      </c>
    </row>
    <row r="5" customFormat="false" ht="12.75" hidden="false" customHeight="false" outlineLevel="0" collapsed="false">
      <c r="A5" s="34" t="s">
        <v>433</v>
      </c>
    </row>
    <row r="6" customFormat="false" ht="12.75" hidden="false" customHeight="true" outlineLevel="0" collapsed="false">
      <c r="A6" s="34" t="s">
        <v>178</v>
      </c>
      <c r="B6" s="34" t="s">
        <v>425</v>
      </c>
    </row>
    <row r="7" customFormat="false" ht="12.75" hidden="false" customHeight="true" outlineLevel="0" collapsed="false">
      <c r="A7" s="34" t="s">
        <v>92</v>
      </c>
      <c r="B7" s="34" t="s">
        <v>92</v>
      </c>
    </row>
    <row r="31" customFormat="false" ht="12.75" hidden="false" customHeight="true" outlineLevel="0" collapsed="false">
      <c r="A31" s="3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2291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2026-07-08T08:33:21Z</dcterms:modified>
  <cp:revision>210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