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mobilier" sheetId="7" state="visible" r:id="rId9"/>
    <sheet name="etat_sol" sheetId="8" state="visible" r:id="rId10"/>
    <sheet name="exposition" sheetId="9" state="visible" r:id="rId11"/>
    <sheet name="frequence_assise" sheetId="10" state="visible" r:id="rId12"/>
    <sheet name="frequence_obstacle" sheetId="11" state="visible" r:id="rId13"/>
    <sheet name="label_psh" sheetId="12" state="visible" r:id="rId14"/>
    <sheet name="label_service" sheetId="13" state="visible" r:id="rId15"/>
    <sheet name="localisation_stationnement" sheetId="14" state="visible" r:id="rId16"/>
    <sheet name="mode_perception" sheetId="15" state="visible" r:id="rId17"/>
    <sheet name="pente" sheetId="16" state="visible" r:id="rId18"/>
    <sheet name="reperabilite" sheetId="17" state="visible" r:id="rId19"/>
    <sheet name="presence_personnel" sheetId="18" state="visible" r:id="rId20"/>
    <sheet name="systeme_guidage" sheetId="19" state="visible" r:id="rId21"/>
    <sheet name="type_cheminement" sheetId="20" state="visible" r:id="rId22"/>
    <sheet name="type_local" sheetId="21" state="visible" r:id="rId23"/>
    <sheet name="type_mobilier" sheetId="22" state="visible" r:id="rId24"/>
    <sheet name="type_obstacle" sheetId="23" state="visible" r:id="rId25"/>
    <sheet name="type_securite" sheetId="24" state="visible" r:id="rId26"/>
    <sheet name="type_service" sheetId="25" state="visible" r:id="rId27"/>
    <sheet name="type_signaletique" sheetId="26" state="visible" r:id="rId28"/>
    <sheet name="type_sol" sheetId="27" state="visible" r:id="rId29"/>
    <sheet name="type_support" sheetId="28" state="visible" r:id="rId30"/>
    <sheet name="type_tc" sheetId="29" state="visible" r:id="rId31"/>
    <sheet name="type_troncon" sheetId="30" state="visible" r:id="rId32"/>
  </sheets>
  <definedNames>
    <definedName function="false" hidden="false" localSheetId="2" name="Print_Area" vbProcedure="false">aide_psh!$A$1:$A$4</definedName>
    <definedName function="false" hidden="false" localSheetId="9" name="Print_Area" vbProcedure="false">frequence_assise!$A$1:$A$5</definedName>
    <definedName function="false" hidden="false" localSheetId="17" name="Print_Area" vbProcedure="false">presence_personnel!$A$1:$A$4</definedName>
    <definedName function="false" hidden="false" localSheetId="20" name="Print_Area" vbProcedure="false">type_local!$A$1:$A$5</definedName>
    <definedName function="false" hidden="false" localSheetId="21" name="Print_Area" vbProcedure="false">type_mobilier!$A$1</definedName>
    <definedName function="false" hidden="false" localSheetId="28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<sst xmlns="http://schemas.openxmlformats.org/spreadsheetml/2006/main" count="1474" uniqueCount="666">
  <si>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</si>
  <si>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</si>
  <si>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</si>
  <si>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</si>
  <si>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</si>
  <si>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</si>
  <si>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</si>
  <si>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</si>
  <si>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</si>
  <si>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</si>
  <si>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</si>
  <si>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</si>
  <si>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</si>
  <si>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</si>
  <si>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</si>
  <si>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</si>
  <si>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</si>
  <si>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</si>
  <si>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</si>
  <si>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</si>
  <si>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</si>
  <si>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</si>
  <si>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</si>
  <si>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</si>
  <si>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</si>
  <si>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</si>
  <si>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</si>
  <si>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</si>
  <si>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</si>
  <si>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</si>
  <si>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</si>
  <si>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</si>
  <si>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</si>
  <si>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</si>
  <si>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</si>
  <si>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</si>
  <si>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</si>
  <si>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</si>
  <si>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</si>
  <si>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</si>
  <si>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</si>
  <si>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</si>
  <si>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</si>
  <si>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</si>
  <si>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</si>
  <si>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</si>
  <si>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</si>
  <si>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</si>
  <si>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</si>
  <si>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</si>
  <si>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</si>
  <si>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</si>
  <si>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</si>
  <si>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</si>
  <si>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</si>
  <si>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</si>
  <si>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</si>
  <si>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</si>
  <si>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</si>
  <si>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</si>
  <si>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</si>
  <si>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</si>
  <si>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</si>
  <si>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</si>
  <si>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</si>
  <si>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</si>
  <si>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</si>
  <si>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</si>
  <si>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</si>
  <si>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</si>
  <si>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</si>
  <si>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</si>
  <si>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</si>
  <si>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</si>
  <si>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</si>
  <si>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</si>
  <si>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</si>
  <si>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</si>
  <si>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</si>
  <si>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</si>
  <si>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</si>
  <si>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</si>
  <si>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</si>
  <si>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</si>
  <si>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</si>
  <si>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</si>
  <si>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</si>
  <si>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</si>
  <si>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</si>
  <si>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</si>
  <si>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</si>
  <si>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</si>
  <si>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</si>
  <si>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</si>
  <si>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</si>
  <si>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</si>
  <si>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</si>
  <si>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</si>
  <si>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</si>
  <si>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</si>
  <si>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</si>
  <si>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</si>
  <si>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</si>
  <si>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</si>
  <si>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</si>
  <si>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</si>
  <si>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</si>
  <si>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</si>
  <si>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</si>
  <si>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</si>
  <si>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</si>
  <si>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</si>
  <si>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</si>
  <si>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</si>
  <si>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</si>
  <si>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</si>
  <si>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</si>
  <si>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</si>
  <si>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</si>
  <si>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</si>
  <si>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</si>
  <si>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</si>
  <si>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</si>
  <si>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</si>
  <si>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</si>
  <si>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</si>
  <si>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</si>
  <si>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</si>
  <si>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</si>
  <si>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</si>
  <si>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</si>
  <si>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</si>
  <si>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</si>
  <si>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</si>
  <si>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</si>
  <si>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</si>
  <si>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</si>
  <si>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</si>
  <si>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</si>
  <si>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</si>
  <si>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</si>
  <si>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</si>
  <si>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</si>
  <si>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</si>
  <si>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</si>
  <si>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</si>
  <si>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</si>
  <si>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</si>
  <si>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</si>
  <si>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</si>
  <si>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</si>
  <si>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</si>
  <si>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</si>
  <si>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</si>
  <si>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</si>
  <si>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</si>
  <si>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</si>
  <si>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</si>
  <si>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</si>
  <si>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</si>
  <si>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</si>
  <si>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</si>
  <si>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</si>
  <si>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</si>
  <si>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</si>
  <si>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</si>
  <si>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</si>
  <si>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</si>
  <si>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</si>
  <si>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</si>
  <si>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</si>
  <si>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</si>
  <si>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</si>
  <si>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</si>
  <si>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</si>
  <si>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</si>
  <si>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</si>
  <si>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</si>
  <si>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</si>
  <si>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</si>
  <si>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</si>
  <si>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</si>
  <si>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</si>
  <si>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</si>
  <si>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</si>
  <si>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</si>
  <si>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</si>
  <si>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</si>
  <si>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</si>
  <si>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</si>
  <si>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</si>
  <si>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</si>
  <si>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desserte_cyclable</t>
  </si>
  <si>
    <t xml:space="preserve">desserte du site naturel par une piste cyclable en site propre</t>
  </si>
  <si>
    <t xml:space="preserve">non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</si>
  <si>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</si>
  <si>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</si>
  <si>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</si>
  <si>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</si>
  <si>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</si>
  <si>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</si>
  <si>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</si>
  <si>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</si>
  <si>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</si>
  <si>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</si>
  <si>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maximale de la liaison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</si>
  <si>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</si>
  <si>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</si>
  <si>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</si>
  <si>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</si>
  <si>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</si>
  <si>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</si>
  <si>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</si>
  <si>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</si>
  <si>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</si>
  <si>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</si>
  <si>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</si>
  <si>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</si>
  <si>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</si>
  <si>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</si>
  <si>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</si>
  <si>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</si>
  <si>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</si>
  <si>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</si>
  <si>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</si>
  <si>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</si>
  <si>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</si>
  <si>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</si>
  <si>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</si>
  <si>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</si>
  <si>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</si>
  <si>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</si>
  <si>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</si>
  <si>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</si>
  <si>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</si>
  <si>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</si>
  <si>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</si>
  <si>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</si>
  <si>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</si>
  <si>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</si>
  <si>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</si>
  <si>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</si>
  <si>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</si>
  <si>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pente du terrain la plus défavorable dans le sens de circulation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</si>
  <si>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</si>
  <si>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</si>
  <si>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</si>
  <si>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</si>
  <si>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</si>
  <si>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</si>
  <si>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</si>
  <si>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</si>
  <si>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</si>
  <si>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</si>
  <si>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</si>
  <si>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</si>
  <si>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</si>
  <si>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</si>
  <si>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</si>
  <si>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</si>
  <si>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</si>
  <si>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</si>
  <si>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</si>
  <si>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</si>
  <si>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</si>
  <si>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</si>
  <si>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</si>
  <si>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</si>
  <si>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</si>
  <si>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</si>
  <si>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</si>
  <si>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</si>
  <si>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</si>
  <si>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</si>
  <si>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</si>
  <si>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</si>
  <si>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</si>
  <si>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</si>
  <si>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</si>
  <si>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</si>
  <si>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</si>
  <si>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</si>
  <si>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</si>
  <si>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</si>
  <si>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</si>
  <si>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</si>
  <si>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</si>
  <si>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</si>
  <si>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</si>
  <si>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</si>
  <si>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</si>
  <si>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</si>
  <si>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</si>
  <si>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</si>
  <si>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</si>
  <si>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</si>
  <si>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</si>
  <si>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</si>
  <si>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</si>
  <si>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</si>
  <si>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</si>
  <si>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</si>
  <si>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</si>
  <si>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</si>
  <si>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</si>
  <si>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</si>
  <si>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</si>
  <si>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</si>
  <si>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</si>
  <si>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hyperliens vers des photos représentatives de l’arrêt de transport collectif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</si>
  <si>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</si>
  <si>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</si>
  <si>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</si>
  <si>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</si>
  <si>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</si>
  <si>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</si>
  <si>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</si>
  <si>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</si>
  <si>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</si>
  <si>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</si>
  <si>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</si>
  <si>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</si>
  <si>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</si>
  <si>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</si>
  <si>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</si>
  <si>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</si>
  <si>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</si>
  <si>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</si>
  <si>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</si>
  <si>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</si>
  <si>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</si>
  <si>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</si>
  <si>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</si>
  <si>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</si>
  <si>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</si>
  <si>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</si>
  <si>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</si>
  <si>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</si>
  <si>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</si>
  <si>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</si>
  <si>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</si>
  <si>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</si>
  <si>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</si>
  <si>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</si>
  <si>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</si>
  <si>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</si>
  <si>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</si>
  <si>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</si>
  <si>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</si>
  <si>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hyperliens vers des photos de l'aire de stationnemen</t>
  </si>
  <si>
    <t xml:space="preserve">hyperliens vers des photos représentatives de l'aire de stationnemen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</si>
  <si>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</si>
  <si>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</si>
  <si>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</si>
  <si>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</si>
  <si>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</si>
  <si>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</si>
  <si>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</si>
  <si>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</si>
  <si>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</si>
  <si>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</si>
  <si>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</si>
  <si>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</si>
  <si>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</si>
  <si>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etat_mobilier</t>
  </si>
  <si>
    <t xml:space="preserve">état du mobilier</t>
  </si>
  <si>
    <t xml:space="preserve">excellent</t>
  </si>
  <si>
    <t xml:space="preserve">hyperliens vers des photos du mobilier </t>
  </si>
  <si>
    <t xml:space="preserve">hyperliens vers des photos représentatives du mobilier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</si>
  <si>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</si>
  <si>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</si>
  <si>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</si>
  <si>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</si>
  <si>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</si>
  <si>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</si>
  <si>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</si>
  <si>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 disponible sur le cheminement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</si>
  <si>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</si>
  <si>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</si>
  <si>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</si>
  <si>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</si>
  <si>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label_service</t>
  </si>
  <si>
    <t xml:space="preserve">labels du service</t>
  </si>
  <si>
    <t xml:space="preserve">éventuels labels attribués au service</t>
  </si>
  <si>
    <t xml:space="preserve">Tourisme &amp; Handicap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</si>
  <si>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</si>
  <si>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</si>
  <si>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</si>
  <si>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</si>
  <si>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</si>
  <si>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</si>
  <si>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</si>
  <si>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</si>
  <si>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</si>
  <si>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hyperliens vers des photos du service</t>
  </si>
  <si>
    <t xml:space="preserve">hyperliens vers des photos représentatives du service 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</si>
  <si>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</si>
  <si>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</si>
  <si>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</si>
  <si>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</si>
  <si>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</si>
  <si>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</si>
  <si>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</si>
  <si>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</si>
  <si>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</si>
  <si>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</si>
  <si>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</si>
  <si>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</si>
  <si>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</si>
  <si>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</si>
  <si>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</si>
  <si>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</si>
  <si>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hyperliens vers des photos de la signalétique</t>
  </si>
  <si>
    <t xml:space="preserve">hyperliens vers des photos représentatives de la signalétique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</si>
  <si>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</si>
  <si>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</si>
  <si>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</si>
  <si>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</si>
  <si>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</si>
  <si>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découverte pédagogique</t>
  </si>
  <si>
    <t xml:space="preserve">structure à vocation pédagogique (ex : maison de la forêt / centre pédagogique / arboretum / parc animalier )</t>
  </si>
  <si>
    <t xml:space="preserve">parcours sportif</t>
  </si>
  <si>
    <t xml:space="preserve">parcours avec des agrès sportifs / pêche / itinéraires cyclables</t>
  </si>
  <si>
    <t xml:space="preserve">site naturel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</si>
  <si>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</si>
  <si>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</si>
  <si>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</si>
  <si>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</si>
  <si>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</si>
  <si>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</si>
  <si>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</si>
  <si>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</si>
  <si>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</si>
  <si>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</si>
  <si>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</si>
  <si>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</si>
  <si>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</si>
  <si>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</si>
  <si>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</si>
  <si>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</si>
  <si>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bois</t>
  </si>
  <si>
    <t xml:space="preserve">forêt</t>
  </si>
  <si>
    <t xml:space="preserve">prairie</t>
  </si>
  <si>
    <t xml:space="preserve">littoral</t>
  </si>
  <si>
    <t xml:space="preserve">espace en bord de mer</t>
  </si>
  <si>
    <t xml:space="preserve">fleuve, rivière, canal</t>
  </si>
  <si>
    <t xml:space="preserve">espace caractérisé par un cours d'eau important, naturel ou aménagé</t>
  </si>
  <si>
    <t xml:space="preserve">zone humide</t>
  </si>
  <si>
    <t xml:space="preserve">lacustre</t>
  </si>
  <si>
    <t xml:space="preserve">espace constitué par un bassin lacustre : lac de plaine, de piémont, de montagne, etc.</t>
  </si>
  <si>
    <t xml:space="preserve">vallée</t>
  </si>
  <si>
    <t xml:space="preserve">territoire allongé, inscrit en creux par rapport aux terrains qui le dominent, et creusé par une rivière, un fleuve ou un glacier</t>
  </si>
  <si>
    <t xml:space="preserve">plaine</t>
  </si>
  <si>
    <t xml:space="preserve">vaste étendue de terrain aux pentes très faibles, y compris les plaines alluviales et les terrasses</t>
  </si>
  <si>
    <t xml:space="preserve">plateau</t>
  </si>
  <si>
    <t xml:space="preserve">relief relativement plane dominant, par des escarpements ou des versants plus ou moins abrupts</t>
  </si>
  <si>
    <t xml:space="preserve">coteau</t>
  </si>
  <si>
    <t xml:space="preserve">petite colline ou versant d'une colline</t>
  </si>
  <si>
    <t xml:space="preserve">montagne</t>
  </si>
  <si>
    <t xml:space="preserve">altitude supérieure à 600 m</t>
  </si>
  <si>
    <t xml:space="preserve">autre relief marqué</t>
  </si>
  <si>
    <t xml:space="preserve">reliefs escarpés ou fortement marqués, sans être en zone de montagne</t>
  </si>
  <si>
    <t xml:space="preserve">rural</t>
  </si>
  <si>
    <t xml:space="preserve">milieu rural</t>
  </si>
  <si>
    <t xml:space="preserve">agricole</t>
  </si>
  <si>
    <t xml:space="preserve">activité agricole, terres arables, prairies, bocages, cultures permanentes, fermes et leurs installations</t>
  </si>
  <si>
    <t xml:space="preserve">bâti et urbanisé</t>
  </si>
  <si>
    <t xml:space="preserve">bâtiments, voirie, surfaces artificiellement recouvertes</t>
  </si>
  <si>
    <t xml:space="preserve">désert, toundra, marin, souterrain, etc.</t>
  </si>
  <si>
    <t xml:space="preserve">bon</t>
  </si>
  <si>
    <t xml:space="preserve">mauvais</t>
  </si>
  <si>
    <t xml:space="preserve">hors service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</si>
  <si>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</si>
  <si>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</si>
  <si>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</si>
  <si>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</si>
  <si>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</si>
  <si>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</si>
  <si>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</si>
  <si>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</si>
  <si>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</si>
  <si>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</si>
  <si>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</si>
  <si>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</si>
  <si>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</si>
  <si>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</si>
  <si>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</si>
  <si>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</si>
  <si>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</si>
  <si>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</si>
  <si>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</si>
  <si>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</si>
  <si>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</si>
  <si>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</si>
  <si>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</si>
  <si>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</si>
  <si>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</si>
  <si>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</si>
  <si>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</si>
  <si>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</si>
  <si>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</si>
  <si>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</si>
  <si>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Handi'spot</t>
  </si>
  <si>
    <t xml:space="preserve">Promenades confort</t>
  </si>
  <si>
    <t xml:space="preserve">Balades à Roulettes</t>
  </si>
  <si>
    <t xml:space="preserve">S3A</t>
  </si>
  <si>
    <t xml:space="preserve">Symbole Accueil, Accompagnement, Accessibilité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</si>
  <si>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</si>
  <si>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</si>
  <si>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</si>
  <si>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</si>
  <si>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</si>
  <si>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</si>
  <si>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‍nulle</t>
  </si>
  <si>
    <t xml:space="preserve">pente inférieure à 1 %</t>
  </si>
  <si>
    <t xml:space="preserve">pente comprise entre 1 et 5 %</t>
  </si>
  <si>
    <t xml:space="preserve">pente comprise entre 5 et 10 %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</si>
  <si>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</si>
  <si>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</si>
  <si>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</si>
  <si>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</si>
  <si>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</si>
  <si>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</si>
  <si>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</si>
  <si>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</si>
  <si>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</si>
  <si>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</si>
  <si>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</si>
  <si>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</si>
  <si>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</si>
  <si>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</si>
  <si>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</si>
  <si>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</si>
  <si>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</si>
  <si>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différents</t>
  </si>
  <si>
    <t xml:space="preserve">labyrinthe, etc</t>
  </si>
  <si>
    <t xml:space="preserve">maison de site</t>
  </si>
  <si>
    <t xml:space="preserve">maison de nature, musée, etc.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</si>
  <si>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</si>
  <si>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</si>
  <si>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</si>
  <si>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</si>
  <si>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</si>
  <si>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</si>
  <si>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</si>
  <si>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</si>
  <si>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</si>
  <si>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</si>
  <si>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</si>
  <si>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</si>
  <si>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</si>
  <si>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</si>
  <si>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</si>
  <si>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</si>
  <si>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</si>
  <si>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</si>
  <si>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</si>
  <si>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</si>
  <si>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</si>
  <si>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</si>
  <si>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</si>
  <si>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rocher, pierre saillante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</si>
  <si>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</si>
  <si>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</si>
  <si>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</si>
  <si>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</si>
  <si>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</si>
  <si>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</si>
  <si>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</si>
  <si>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</si>
  <si>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 ravine ou affaissement</t>
  </si>
  <si>
    <t xml:space="preserve">ressaut</t>
  </si>
  <si>
    <t xml:space="preserve">ornière, trou,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</si>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</sst>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50" activePane="bottomRight" state="frozen"/>
      <selection pane="topLeft" activeCell="A1" activeCellId="0" sqref="A1"/>
      <selection pane="topRight" activeCell="C1" activeCellId="0" sqref="C1"/>
      <selection pane="bottomLeft" activeCell="A50" activeCellId="0" sqref="A50"/>
      <selection pane="bottomRight" activeCell="E64" activeCellId="0" sqref="E6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/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146</v>
      </c>
      <c r="G33" s="1" t="s">
        <v>26</v>
      </c>
      <c r="H33" s="25" t="s">
        <v>147</v>
      </c>
      <c r="I33" s="25"/>
      <c r="J33" s="35" t="s">
        <v>148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149</v>
      </c>
      <c r="C34" s="23" t="s">
        <v>56</v>
      </c>
      <c r="D34" s="23"/>
      <c r="E34" s="1" t="s">
        <v>150</v>
      </c>
      <c r="F34" s="1" t="s">
        <v>151</v>
      </c>
      <c r="G34" s="1" t="s">
        <v>26</v>
      </c>
      <c r="H34" s="32" t="s">
        <v>152</v>
      </c>
      <c r="I34" s="25" t="s">
        <v>153</v>
      </c>
      <c r="J34" s="35" t="s">
        <v>148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154</v>
      </c>
      <c r="C35" s="23" t="s">
        <v>35</v>
      </c>
      <c r="D35" s="23"/>
      <c r="E35" s="1" t="s">
        <v>155</v>
      </c>
      <c r="F35" s="1" t="s">
        <v>156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157</v>
      </c>
      <c r="C36" s="23" t="s">
        <v>78</v>
      </c>
      <c r="D36" s="23"/>
      <c r="E36" s="1" t="s">
        <v>158</v>
      </c>
      <c r="F36" s="1" t="s">
        <v>159</v>
      </c>
      <c r="G36" s="1" t="s">
        <v>33</v>
      </c>
      <c r="H36" s="25"/>
      <c r="I36" s="25" t="s">
        <v>160</v>
      </c>
      <c r="J36" s="35" t="s">
        <v>161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162</v>
      </c>
      <c r="C37" s="23" t="s">
        <v>56</v>
      </c>
      <c r="D37" s="23" t="s">
        <v>46</v>
      </c>
      <c r="E37" s="1" t="s">
        <v>163</v>
      </c>
      <c r="F37" s="1" t="s">
        <v>164</v>
      </c>
      <c r="G37" s="1" t="s">
        <v>26</v>
      </c>
      <c r="H37" s="41" t="s">
        <v>162</v>
      </c>
      <c r="I37" s="25" t="s">
        <v>165</v>
      </c>
      <c r="J37" s="25" t="s">
        <v>166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167</v>
      </c>
      <c r="C38" s="23" t="s">
        <v>56</v>
      </c>
      <c r="D38" s="23" t="s">
        <v>46</v>
      </c>
      <c r="E38" s="1" t="s">
        <v>168</v>
      </c>
      <c r="F38" s="1" t="s">
        <v>168</v>
      </c>
      <c r="G38" s="1" t="s">
        <v>26</v>
      </c>
      <c r="H38" s="30" t="s">
        <v>167</v>
      </c>
      <c r="I38" s="25" t="s">
        <v>169</v>
      </c>
      <c r="J38" s="25" t="s">
        <v>169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170</v>
      </c>
      <c r="C39" s="43" t="s">
        <v>56</v>
      </c>
      <c r="D39" s="23" t="s">
        <v>46</v>
      </c>
      <c r="E39" s="1" t="s">
        <v>171</v>
      </c>
      <c r="F39" s="1" t="s">
        <v>172</v>
      </c>
      <c r="G39" s="1" t="s">
        <v>26</v>
      </c>
      <c r="H39" s="42" t="s">
        <v>170</v>
      </c>
      <c r="I39" s="25" t="s">
        <v>173</v>
      </c>
      <c r="J39" s="1" t="s">
        <v>174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175</v>
      </c>
      <c r="C40" s="23" t="s">
        <v>56</v>
      </c>
      <c r="D40" s="23"/>
      <c r="E40" s="40" t="s">
        <v>176</v>
      </c>
      <c r="F40" s="40" t="s">
        <v>177</v>
      </c>
      <c r="G40" s="1" t="s">
        <v>26</v>
      </c>
      <c r="H40" s="30" t="s">
        <v>175</v>
      </c>
      <c r="I40" s="25" t="s">
        <v>178</v>
      </c>
      <c r="J40" s="40" t="s">
        <v>179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180</v>
      </c>
      <c r="C41" s="23" t="s">
        <v>56</v>
      </c>
      <c r="D41" s="23"/>
      <c r="E41" s="1" t="s">
        <v>181</v>
      </c>
      <c r="F41" s="1" t="s">
        <v>182</v>
      </c>
      <c r="G41" s="1" t="s">
        <v>26</v>
      </c>
      <c r="H41" s="30" t="s">
        <v>180</v>
      </c>
      <c r="I41" s="25" t="s">
        <v>178</v>
      </c>
      <c r="J41" s="1" t="s">
        <v>183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184</v>
      </c>
      <c r="C42" s="23" t="s">
        <v>43</v>
      </c>
      <c r="D42" s="23"/>
      <c r="E42" s="1" t="s">
        <v>185</v>
      </c>
      <c r="F42" s="1" t="s">
        <v>186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187</v>
      </c>
      <c r="C43" s="23" t="s">
        <v>43</v>
      </c>
      <c r="D43" s="23"/>
      <c r="E43" s="1" t="s">
        <v>188</v>
      </c>
      <c r="F43" s="1" t="s">
        <v>188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189</v>
      </c>
      <c r="C44" s="23" t="s">
        <v>56</v>
      </c>
      <c r="D44" s="23"/>
      <c r="E44" s="1" t="s">
        <v>190</v>
      </c>
      <c r="F44" s="1" t="s">
        <v>190</v>
      </c>
      <c r="G44" s="1" t="s">
        <v>33</v>
      </c>
      <c r="H44" s="1" t="s">
        <v>189</v>
      </c>
      <c r="I44" s="25"/>
      <c r="J44" s="25" t="s">
        <v>191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1" t="s">
        <v>192</v>
      </c>
      <c r="C45" s="23" t="s">
        <v>43</v>
      </c>
      <c r="D45" s="23"/>
      <c r="E45" s="1" t="s">
        <v>193</v>
      </c>
      <c r="F45" s="1" t="s">
        <v>193</v>
      </c>
      <c r="G45" s="1" t="s">
        <v>26</v>
      </c>
      <c r="I45" s="25" t="s">
        <v>194</v>
      </c>
      <c r="J45" s="25" t="s">
        <v>194</v>
      </c>
      <c r="K45" s="20" t="s">
        <v>192</v>
      </c>
      <c r="L45" s="21" t="str">
        <f aca="false">IF(C45="","",IF(C45="entier","integer",IF(C45="booléen","boolean",IF(C45="geojson","geojson",IF(C45="décimal","number",IF(C45="date","date","string"))))))</f>
        <v>boolean</v>
      </c>
      <c r="M45" s="21"/>
      <c r="N45" s="2" t="s">
        <v>46</v>
      </c>
      <c r="O45" s="20"/>
      <c r="P45" s="20"/>
      <c r="Q45" s="21"/>
      <c r="S45" s="26"/>
    </row>
    <row r="46" customFormat="false" ht="12.75" hidden="false" customHeight="true" outlineLevel="0" collapsed="false">
      <c r="A46" s="1" t="s">
        <v>19</v>
      </c>
      <c r="B46" s="30" t="s">
        <v>195</v>
      </c>
      <c r="C46" s="23" t="s">
        <v>56</v>
      </c>
      <c r="D46" s="23" t="s">
        <v>46</v>
      </c>
      <c r="E46" s="1" t="s">
        <v>196</v>
      </c>
      <c r="F46" s="1" t="s">
        <v>196</v>
      </c>
      <c r="G46" s="1" t="s">
        <v>26</v>
      </c>
      <c r="H46" s="41" t="s">
        <v>162</v>
      </c>
      <c r="J46" s="1" t="s">
        <v>197</v>
      </c>
      <c r="K46" s="20" t="str">
        <f aca="false">B46</f>
        <v>type_sol_liaison</v>
      </c>
      <c r="L46" s="21" t="str">
        <f aca="false">IF(C46="","",IF(C46="entier","integer",IF(C46="booléen","boolean",IF(C46="geojson","geojson",IF(C46="décimal","number",IF(C46="date","date","string"))))))</f>
        <v>string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>oui</v>
      </c>
      <c r="P46" s="20" t="str">
        <f aca="false">IF(H46="","",H46)</f>
        <v>type_sol</v>
      </c>
      <c r="Q46" s="21" t="str">
        <f aca="false">IF(D46="","","oui")</f>
        <v>oui</v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198</v>
      </c>
      <c r="C47" s="23" t="s">
        <v>35</v>
      </c>
      <c r="D47" s="23"/>
      <c r="E47" s="1" t="s">
        <v>199</v>
      </c>
      <c r="F47" s="1" t="s">
        <v>200</v>
      </c>
      <c r="G47" s="1" t="s">
        <v>26</v>
      </c>
      <c r="H47" s="25"/>
      <c r="I47" s="25"/>
      <c r="J47" s="25" t="n">
        <v>100</v>
      </c>
      <c r="K47" s="20" t="str">
        <f aca="false">B47</f>
        <v>longueur_liaison</v>
      </c>
      <c r="L47" s="21" t="str">
        <f aca="false">IF(C47="","",IF(C47="entier","integer",IF(C47="booléen","boolean",IF(C47="geojson","geojson",IF(C47="décimal","number",IF(C47="date","date","string"))))))</f>
        <v>integer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201</v>
      </c>
      <c r="C48" s="23" t="s">
        <v>141</v>
      </c>
      <c r="D48" s="23"/>
      <c r="E48" s="40" t="s">
        <v>202</v>
      </c>
      <c r="F48" s="40" t="s">
        <v>203</v>
      </c>
      <c r="G48" s="1" t="s">
        <v>26</v>
      </c>
      <c r="H48" s="25"/>
      <c r="I48" s="25"/>
      <c r="J48" s="25" t="n">
        <v>50</v>
      </c>
      <c r="K48" s="20" t="str">
        <f aca="false">B48</f>
        <v>largeur_min_liaison</v>
      </c>
      <c r="L48" s="21" t="str">
        <f aca="false">IF(C48="","",IF(C48="entier","integer",IF(C48="booléen","boolean",IF(C48="geojson","geojson",IF(C48="décimal","number",IF(C48="date","date","string"))))))</f>
        <v>number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/>
      </c>
      <c r="P48" s="20" t="str">
        <f aca="false">IF(H48="","",H48)</f>
        <v/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1" t="s">
        <v>204</v>
      </c>
      <c r="C49" s="23" t="s">
        <v>56</v>
      </c>
      <c r="D49" s="23"/>
      <c r="E49" s="1" t="s">
        <v>205</v>
      </c>
      <c r="F49" s="1" t="s">
        <v>205</v>
      </c>
      <c r="G49" s="1" t="s">
        <v>26</v>
      </c>
      <c r="H49" s="25" t="s">
        <v>147</v>
      </c>
      <c r="I49" s="1" t="s">
        <v>206</v>
      </c>
      <c r="J49" s="1" t="s">
        <v>148</v>
      </c>
      <c r="K49" s="20" t="str">
        <f aca="false">B49</f>
        <v>pente_max_liaison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pente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207</v>
      </c>
      <c r="C50" s="23" t="s">
        <v>56</v>
      </c>
      <c r="D50" s="23"/>
      <c r="E50" s="1" t="s">
        <v>208</v>
      </c>
      <c r="F50" s="1" t="s">
        <v>209</v>
      </c>
      <c r="G50" s="1" t="s">
        <v>26</v>
      </c>
      <c r="H50" s="32" t="s">
        <v>152</v>
      </c>
      <c r="I50" s="1" t="s">
        <v>153</v>
      </c>
      <c r="J50" s="1" t="s">
        <v>206</v>
      </c>
      <c r="K50" s="20" t="str">
        <f aca="false">B50</f>
        <v>devers_max_liaison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devers</v>
      </c>
      <c r="Q50" s="21" t="str">
        <f aca="false">IF(D50="","","oui")</f>
        <v/>
      </c>
      <c r="S50" s="26"/>
      <c r="T50" s="26"/>
    </row>
    <row r="51" customFormat="false" ht="12.75" hidden="false" customHeight="true" outlineLevel="0" collapsed="false">
      <c r="A51" s="1" t="s">
        <v>19</v>
      </c>
      <c r="B51" s="30" t="s">
        <v>210</v>
      </c>
      <c r="C51" s="23" t="s">
        <v>56</v>
      </c>
      <c r="D51" s="23"/>
      <c r="E51" s="1" t="s">
        <v>211</v>
      </c>
      <c r="F51" s="1" t="s">
        <v>212</v>
      </c>
      <c r="G51" s="1" t="s">
        <v>26</v>
      </c>
      <c r="H51" s="30" t="s">
        <v>180</v>
      </c>
      <c r="I51" s="1" t="s">
        <v>178</v>
      </c>
      <c r="J51" s="1" t="s">
        <v>183</v>
      </c>
      <c r="K51" s="20" t="str">
        <f aca="false">B51</f>
        <v>continuite_repere_liaison</v>
      </c>
      <c r="L51" s="21" t="str">
        <f aca="false">IF(C51="","",IF(C51="entier","integer",IF(C51="booléen","boolean",IF(C51="geojson","geojson",IF(C51="décimal","number",IF(C51="date","date","string"))))))</f>
        <v>string</v>
      </c>
      <c r="M51" s="21" t="str">
        <f aca="false">IF(LEFT(B51,9)="coord_gps","geopoint",IF(AND(C51="geojson",B51="geom_surf"),"polygon",IF(AND(C51="geojson",B51="geom_pct"),"point",IF(AND(C51="geojson",B51="geom_lin"),"linestring",IF(C51="url","url_pattern",IF(C51="date","%Y-%M-%D",""))))))</f>
        <v/>
      </c>
      <c r="N51" s="2" t="str">
        <f aca="false">IF(G51="","",IF(G51="obligatoire","oui","non"))</f>
        <v>oui</v>
      </c>
      <c r="O51" s="20" t="str">
        <f aca="false">IF(H51="","","oui")</f>
        <v>oui</v>
      </c>
      <c r="P51" s="20" t="str">
        <f aca="false">IF(H51="","",H51)</f>
        <v>continuite_repere</v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213</v>
      </c>
      <c r="C52" s="23" t="s">
        <v>48</v>
      </c>
      <c r="D52" s="28"/>
      <c r="E52" s="1" t="s">
        <v>214</v>
      </c>
      <c r="F52" s="1" t="s">
        <v>215</v>
      </c>
      <c r="G52" s="1" t="s">
        <v>33</v>
      </c>
      <c r="H52" s="25"/>
      <c r="I52" s="25"/>
      <c r="J52" s="44" t="n">
        <v>43896</v>
      </c>
      <c r="K52" s="20" t="str">
        <f aca="false">B52</f>
        <v>date_creation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/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1" t="s">
        <v>216</v>
      </c>
      <c r="C53" s="23" t="s">
        <v>48</v>
      </c>
      <c r="D53" s="28"/>
      <c r="E53" s="1" t="s">
        <v>217</v>
      </c>
      <c r="F53" s="1" t="s">
        <v>218</v>
      </c>
      <c r="G53" s="1" t="s">
        <v>33</v>
      </c>
      <c r="H53" s="25"/>
      <c r="I53" s="25"/>
      <c r="J53" s="44" t="n">
        <v>46037</v>
      </c>
      <c r="K53" s="20" t="str">
        <f aca="false">B53</f>
        <v>date_actualisation</v>
      </c>
      <c r="L53" s="21" t="str">
        <f aca="false">IF(C53="","",IF(C53="entier","integer",IF(C53="booléen","boolean",IF(C53="geojson","geojson",IF(C53="décimal","number",IF(C53="date","date","string"))))))</f>
        <v>date</v>
      </c>
      <c r="M53" s="21"/>
      <c r="N53" s="2" t="str">
        <f aca="false">IF(G53="","",IF(G53="obligatoire","oui","non"))</f>
        <v>non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219</v>
      </c>
      <c r="C54" s="23" t="s">
        <v>52</v>
      </c>
      <c r="D54" s="24"/>
      <c r="E54" s="1" t="s">
        <v>220</v>
      </c>
      <c r="F54" s="1" t="s">
        <v>221</v>
      </c>
      <c r="G54" s="1" t="s">
        <v>26</v>
      </c>
      <c r="H54" s="25"/>
      <c r="I54" s="25"/>
      <c r="J54" s="35" t="s">
        <v>222</v>
      </c>
      <c r="K54" s="20" t="str">
        <f aca="false">B54</f>
        <v>producteur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23" t="s">
        <v>223</v>
      </c>
      <c r="C55" s="23" t="s">
        <v>52</v>
      </c>
      <c r="D55" s="24"/>
      <c r="E55" s="1" t="s">
        <v>224</v>
      </c>
      <c r="F55" s="1" t="s">
        <v>225</v>
      </c>
      <c r="G55" s="1" t="s">
        <v>26</v>
      </c>
      <c r="H55" s="25"/>
      <c r="I55" s="25"/>
      <c r="J55" s="45" t="s">
        <v>226</v>
      </c>
      <c r="K55" s="20" t="str">
        <f aca="false">B55</f>
        <v>contact</v>
      </c>
      <c r="L55" s="21" t="str">
        <f aca="false">IF(C55="","",IF(C55="entier","integer",IF(C55="booléen","boolean",IF(C55="geojson","geojson",IF(C55="décimal","number",IF(C55="date","date","string"))))))</f>
        <v>string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/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A56" s="1" t="s">
        <v>19</v>
      </c>
      <c r="B56" s="1" t="s">
        <v>227</v>
      </c>
      <c r="C56" s="23" t="s">
        <v>73</v>
      </c>
      <c r="D56" s="23"/>
      <c r="E56" s="1" t="s">
        <v>228</v>
      </c>
      <c r="F56" s="1" t="s">
        <v>229</v>
      </c>
      <c r="G56" s="1" t="s">
        <v>26</v>
      </c>
      <c r="H56" s="25"/>
      <c r="I56" s="25"/>
      <c r="J56" s="25" t="s">
        <v>230</v>
      </c>
      <c r="K56" s="20" t="str">
        <f aca="false">B56</f>
        <v>geom_lin</v>
      </c>
      <c r="L56" s="21" t="str">
        <f aca="false">IF(C56="","",IF(C56="entier","integer",IF(C56="booléen","boolean",IF(C56="geojson","geojson",IF(C56="décimal","number",IF(C56="date","date","string"))))))</f>
        <v>geojson</v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>linestring</v>
      </c>
      <c r="N56" s="2" t="str">
        <f aca="false">IF(G56="","",IF(G56="obligatoire","oui","non"))</f>
        <v>oui</v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C57" s="23"/>
      <c r="D57" s="23"/>
      <c r="H57" s="25"/>
      <c r="I57" s="25"/>
      <c r="J57" s="25"/>
      <c r="K57" s="20"/>
      <c r="L57" s="21" t="str">
        <f aca="false">IF(C57="","",IF(C57="entier","integer",IF(C57="booléen","boolean",IF(C57="geojson","geojson",IF(C57="décimal","number",IF(C57="date","date","string"))))))</f>
        <v/>
      </c>
      <c r="M57" s="21" t="str">
        <f aca="false">IF(LEFT(B57,9)="coord_gps","geopoint",IF(AND(C57="geojson",B57="geom_surf"),"polygon",IF(AND(C57="geojson",B57="geom_pct"),"point",IF(AND(C57="geojson",B57="geom_lin"),"linestring",IF(C57="url","url_pattern",IF(C57="date","%Y-%M-%D",""))))))</f>
        <v/>
      </c>
      <c r="N57" s="2" t="str">
        <f aca="false">IF(G57="","",IF(G57="obligatoire","oui","non"))</f>
        <v/>
      </c>
      <c r="O57" s="20" t="str">
        <f aca="false">IF(H57="","","oui")</f>
        <v/>
      </c>
      <c r="P57" s="20" t="str">
        <f aca="false">IF(H57="","",H57)</f>
        <v/>
      </c>
      <c r="Q57" s="21" t="str">
        <f aca="false">IF(D57="","","oui")</f>
        <v/>
      </c>
      <c r="S57" s="26"/>
    </row>
    <row r="58" customFormat="false" ht="12.75" hidden="false" customHeight="true" outlineLevel="0" collapsed="false">
      <c r="A58" s="46" t="s">
        <v>231</v>
      </c>
      <c r="B58" s="47"/>
      <c r="C58" s="48"/>
      <c r="D58" s="48"/>
      <c r="E58" s="10"/>
      <c r="F58" s="11"/>
      <c r="G58" s="47"/>
      <c r="H58" s="49"/>
      <c r="I58" s="49"/>
      <c r="J58" s="49"/>
      <c r="K58" s="14"/>
      <c r="L58" s="14"/>
      <c r="M58" s="14"/>
      <c r="N58" s="48"/>
      <c r="O58" s="48"/>
      <c r="P58" s="48"/>
      <c r="Q58" s="48"/>
      <c r="R58" s="47"/>
      <c r="S58" s="50"/>
      <c r="T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</row>
    <row r="59" customFormat="false" ht="12.75" hidden="false" customHeight="true" outlineLevel="0" collapsed="false">
      <c r="A59" s="1" t="s">
        <v>231</v>
      </c>
      <c r="B59" s="17" t="s">
        <v>232</v>
      </c>
      <c r="C59" s="18" t="s">
        <v>23</v>
      </c>
      <c r="D59" s="18"/>
      <c r="E59" s="18" t="s">
        <v>233</v>
      </c>
      <c r="F59" s="18" t="s">
        <v>234</v>
      </c>
      <c r="G59" s="1" t="s">
        <v>26</v>
      </c>
      <c r="H59" s="19"/>
      <c r="I59" s="19"/>
      <c r="J59" s="19" t="s">
        <v>235</v>
      </c>
      <c r="K59" s="20" t="str">
        <f aca="false">B59</f>
        <v>id_troncon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oui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 t="s">
        <v>28</v>
      </c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231</v>
      </c>
      <c r="B60" s="17" t="s">
        <v>34</v>
      </c>
      <c r="C60" s="18" t="s">
        <v>23</v>
      </c>
      <c r="D60" s="18"/>
      <c r="E60" s="18" t="s">
        <v>236</v>
      </c>
      <c r="F60" s="18" t="s">
        <v>237</v>
      </c>
      <c r="G60" s="1" t="s">
        <v>33</v>
      </c>
      <c r="H60" s="19"/>
      <c r="I60" s="19"/>
      <c r="J60" s="19"/>
      <c r="K60" s="20" t="str">
        <f aca="false">B60</f>
        <v>id_osm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non</v>
      </c>
      <c r="O60" s="20" t="str">
        <f aca="false">IF(H60="","","oui")</f>
        <v/>
      </c>
      <c r="P60" s="20" t="str">
        <f aca="false">IF(H60="","",H60)</f>
        <v/>
      </c>
      <c r="Q60" s="21" t="str">
        <f aca="false">IF(D60="","","oui")</f>
        <v/>
      </c>
      <c r="R60" s="22"/>
      <c r="S60" s="22"/>
      <c r="T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customFormat="false" ht="12.75" hidden="false" customHeight="true" outlineLevel="0" collapsed="false">
      <c r="A61" s="1" t="s">
        <v>231</v>
      </c>
      <c r="B61" s="1" t="s">
        <v>238</v>
      </c>
      <c r="C61" s="23" t="s">
        <v>56</v>
      </c>
      <c r="D61" s="23"/>
      <c r="E61" s="18" t="s">
        <v>239</v>
      </c>
      <c r="F61" s="18" t="s">
        <v>239</v>
      </c>
      <c r="G61" s="1" t="s">
        <v>26</v>
      </c>
      <c r="H61" s="1" t="s">
        <v>238</v>
      </c>
      <c r="I61" s="25"/>
      <c r="J61" s="25" t="s">
        <v>240</v>
      </c>
      <c r="K61" s="20" t="str">
        <f aca="false">B61</f>
        <v>type_troncon</v>
      </c>
      <c r="L61" s="21" t="str">
        <f aca="false">IF(C61="","",IF(C61="entier","integer",IF(C61="booléen","boolean",IF(C61="geojson","geojson",IF(C61="décimal","number",IF(C61="date","date","string"))))))</f>
        <v>string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>oui</v>
      </c>
      <c r="P61" s="20" t="str">
        <f aca="false">IF(H61="","",H61)</f>
        <v>type_troncon</v>
      </c>
      <c r="Q61" s="21" t="str">
        <f aca="false">IF(D61="","","oui")</f>
        <v/>
      </c>
      <c r="S61" s="26"/>
    </row>
    <row r="62" s="3" customFormat="true" ht="12.75" hidden="false" customHeight="true" outlineLevel="0" collapsed="false">
      <c r="A62" s="1" t="s">
        <v>231</v>
      </c>
      <c r="B62" s="1" t="s">
        <v>140</v>
      </c>
      <c r="C62" s="23" t="s">
        <v>141</v>
      </c>
      <c r="D62" s="23"/>
      <c r="E62" s="18" t="s">
        <v>241</v>
      </c>
      <c r="F62" s="18" t="s">
        <v>242</v>
      </c>
      <c r="G62" s="1" t="s">
        <v>26</v>
      </c>
      <c r="H62" s="25"/>
      <c r="I62" s="25"/>
      <c r="J62" s="25" t="n">
        <v>0.7</v>
      </c>
      <c r="K62" s="20" t="str">
        <f aca="false">B62</f>
        <v>largeur_min</v>
      </c>
      <c r="L62" s="21" t="str">
        <f aca="false">IF(C62="","",IF(C62="entier","integer",IF(C62="booléen","boolean",IF(C62="geojson","geojson",IF(C62="décimal","number",IF(C62="date","date","string"))))))</f>
        <v>number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/>
      </c>
      <c r="P62" s="20" t="str">
        <f aca="false">IF(H62="","",H62)</f>
        <v/>
      </c>
      <c r="Q62" s="21" t="str">
        <f aca="false">IF(D62="","","oui")</f>
        <v/>
      </c>
      <c r="R62" s="1"/>
      <c r="S62" s="26"/>
      <c r="T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0"/>
      <c r="AP62" s="0"/>
      <c r="AQ62" s="0"/>
      <c r="AR62" s="0"/>
      <c r="AS62" s="0"/>
      <c r="AT62" s="0"/>
      <c r="AU62" s="0"/>
      <c r="AV62" s="0"/>
    </row>
    <row r="63" customFormat="false" ht="12.75" hidden="false" customHeight="true" outlineLevel="0" collapsed="false">
      <c r="A63" s="1" t="s">
        <v>231</v>
      </c>
      <c r="B63" s="1" t="s">
        <v>144</v>
      </c>
      <c r="C63" s="23" t="s">
        <v>56</v>
      </c>
      <c r="D63" s="23"/>
      <c r="E63" s="18" t="s">
        <v>243</v>
      </c>
      <c r="F63" s="18" t="s">
        <v>243</v>
      </c>
      <c r="G63" s="1" t="s">
        <v>26</v>
      </c>
      <c r="H63" s="25" t="s">
        <v>147</v>
      </c>
      <c r="I63" s="25"/>
      <c r="J63" s="25" t="s">
        <v>244</v>
      </c>
      <c r="K63" s="20" t="str">
        <f aca="false">B63</f>
        <v>pente_max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pente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231</v>
      </c>
      <c r="B64" s="30" t="s">
        <v>149</v>
      </c>
      <c r="C64" s="23" t="s">
        <v>56</v>
      </c>
      <c r="D64" s="23"/>
      <c r="E64" s="18" t="s">
        <v>150</v>
      </c>
      <c r="F64" s="18" t="s">
        <v>151</v>
      </c>
      <c r="G64" s="1" t="s">
        <v>26</v>
      </c>
      <c r="H64" s="32" t="s">
        <v>152</v>
      </c>
      <c r="I64" s="25"/>
      <c r="J64" s="25" t="s">
        <v>148</v>
      </c>
      <c r="K64" s="20" t="str">
        <f aca="false">B64</f>
        <v>devers_max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devers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231</v>
      </c>
      <c r="B65" s="30" t="s">
        <v>162</v>
      </c>
      <c r="C65" s="23" t="s">
        <v>56</v>
      </c>
      <c r="D65" s="23"/>
      <c r="E65" s="18" t="s">
        <v>245</v>
      </c>
      <c r="F65" s="18" t="s">
        <v>246</v>
      </c>
      <c r="G65" s="1" t="s">
        <v>26</v>
      </c>
      <c r="H65" s="30" t="s">
        <v>162</v>
      </c>
      <c r="I65" s="25"/>
      <c r="J65" s="34" t="s">
        <v>247</v>
      </c>
      <c r="K65" s="20" t="str">
        <f aca="false">B65</f>
        <v>type_sol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type_sol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231</v>
      </c>
      <c r="B66" s="51" t="s">
        <v>167</v>
      </c>
      <c r="C66" s="23" t="s">
        <v>56</v>
      </c>
      <c r="D66" s="23"/>
      <c r="E66" s="18" t="s">
        <v>248</v>
      </c>
      <c r="F66" s="18" t="s">
        <v>248</v>
      </c>
      <c r="G66" s="1" t="s">
        <v>26</v>
      </c>
      <c r="H66" s="51" t="s">
        <v>167</v>
      </c>
      <c r="I66" s="25" t="s">
        <v>169</v>
      </c>
      <c r="J66" s="25" t="s">
        <v>169</v>
      </c>
      <c r="K66" s="20" t="str">
        <f aca="false">B66</f>
        <v>etat_sol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etat_sol</v>
      </c>
      <c r="Q66" s="21" t="str">
        <f aca="false">IF(D66="","","oui")</f>
        <v/>
      </c>
      <c r="S66" s="26"/>
    </row>
    <row r="67" customFormat="false" ht="12.75" hidden="false" customHeight="true" outlineLevel="0" collapsed="false">
      <c r="A67" s="1" t="s">
        <v>231</v>
      </c>
      <c r="B67" s="30" t="s">
        <v>249</v>
      </c>
      <c r="C67" s="23" t="s">
        <v>56</v>
      </c>
      <c r="D67" s="23" t="s">
        <v>46</v>
      </c>
      <c r="E67" s="18" t="s">
        <v>250</v>
      </c>
      <c r="F67" s="18" t="s">
        <v>251</v>
      </c>
      <c r="G67" s="1" t="s">
        <v>26</v>
      </c>
      <c r="H67" s="31" t="s">
        <v>175</v>
      </c>
      <c r="I67" s="25"/>
      <c r="J67" s="52" t="s">
        <v>252</v>
      </c>
      <c r="K67" s="20" t="str">
        <f aca="false">B67</f>
        <v>reperabilite_troncon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oui</v>
      </c>
      <c r="O67" s="20" t="str">
        <f aca="false">IF(H67="","","oui")</f>
        <v>oui</v>
      </c>
      <c r="P67" s="20" t="str">
        <f aca="false">IF(H67="","",H67)</f>
        <v>reperabilite</v>
      </c>
      <c r="Q67" s="21" t="str">
        <f aca="false">IF(D67="","","oui")</f>
        <v>oui</v>
      </c>
      <c r="S67" s="26"/>
    </row>
    <row r="68" customFormat="false" ht="12.75" hidden="false" customHeight="true" outlineLevel="0" collapsed="false">
      <c r="A68" s="1" t="s">
        <v>231</v>
      </c>
      <c r="B68" s="31" t="s">
        <v>253</v>
      </c>
      <c r="C68" s="23" t="s">
        <v>56</v>
      </c>
      <c r="D68" s="23" t="s">
        <v>46</v>
      </c>
      <c r="E68" s="18" t="s">
        <v>254</v>
      </c>
      <c r="F68" s="18" t="s">
        <v>255</v>
      </c>
      <c r="G68" s="1" t="s">
        <v>33</v>
      </c>
      <c r="H68" s="31" t="s">
        <v>253</v>
      </c>
      <c r="I68" s="25"/>
      <c r="J68" s="52" t="s">
        <v>173</v>
      </c>
      <c r="K68" s="20" t="str">
        <f aca="false">B68</f>
        <v>type_securite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/>
      </c>
      <c r="N68" s="2" t="str">
        <f aca="false">IF(G68="","",IF(G68="obligatoire","oui","non"))</f>
        <v>non</v>
      </c>
      <c r="O68" s="20" t="str">
        <f aca="false">IF(H68="","","oui")</f>
        <v>oui</v>
      </c>
      <c r="P68" s="20" t="str">
        <f aca="false">IF(H68="","",H68)</f>
        <v>type_securite</v>
      </c>
      <c r="Q68" s="21" t="str">
        <f aca="false">IF(D68="","","oui")</f>
        <v>oui</v>
      </c>
      <c r="S68" s="26"/>
      <c r="AO68" s="3"/>
      <c r="AP68" s="3"/>
      <c r="AQ68" s="3"/>
      <c r="AR68" s="3"/>
      <c r="AS68" s="3"/>
      <c r="AT68" s="3"/>
      <c r="AU68" s="3"/>
      <c r="AV68" s="3"/>
    </row>
    <row r="69" customFormat="false" ht="12" hidden="false" customHeight="true" outlineLevel="0" collapsed="false">
      <c r="A69" s="1" t="s">
        <v>231</v>
      </c>
      <c r="B69" s="37" t="s">
        <v>120</v>
      </c>
      <c r="C69" s="23" t="s">
        <v>78</v>
      </c>
      <c r="D69" s="23" t="s">
        <v>46</v>
      </c>
      <c r="E69" s="37" t="s">
        <v>256</v>
      </c>
      <c r="F69" s="37" t="s">
        <v>257</v>
      </c>
      <c r="G69" s="1" t="s">
        <v>33</v>
      </c>
      <c r="H69" s="25"/>
      <c r="I69" s="25"/>
      <c r="J69" s="25"/>
      <c r="K69" s="20" t="str">
        <f aca="false">B69</f>
        <v>url_media</v>
      </c>
      <c r="L69" s="21" t="str">
        <f aca="false">IF(C69="","",IF(C69="entier","integer",IF(C69="booléen","boolean",IF(C69="geojson","geojson",IF(C69="décimal","number",IF(C69="date","date","string"))))))</f>
        <v>string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url_pattern</v>
      </c>
      <c r="N69" s="2" t="str">
        <f aca="false">IF(G69="","",IF(G69="obligatoire","oui","non"))</f>
        <v>non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>oui</v>
      </c>
      <c r="S69" s="26"/>
      <c r="AO69" s="3"/>
      <c r="AP69" s="3"/>
      <c r="AQ69" s="3"/>
      <c r="AR69" s="3"/>
      <c r="AS69" s="3"/>
      <c r="AT69" s="3"/>
      <c r="AU69" s="3"/>
      <c r="AV69" s="3"/>
    </row>
    <row r="70" customFormat="false" ht="12" hidden="false" customHeight="true" outlineLevel="0" collapsed="false">
      <c r="A70" s="1" t="s">
        <v>231</v>
      </c>
      <c r="B70" s="1" t="s">
        <v>227</v>
      </c>
      <c r="C70" s="23" t="s">
        <v>73</v>
      </c>
      <c r="D70" s="23"/>
      <c r="E70" s="1" t="s">
        <v>258</v>
      </c>
      <c r="F70" s="30" t="s">
        <v>259</v>
      </c>
      <c r="G70" s="1" t="s">
        <v>26</v>
      </c>
      <c r="H70" s="25"/>
      <c r="I70" s="25"/>
      <c r="J70" s="25" t="s">
        <v>230</v>
      </c>
      <c r="K70" s="20" t="str">
        <f aca="false">B70</f>
        <v>geom_lin</v>
      </c>
      <c r="L70" s="21" t="str">
        <f aca="false">IF(C70="","",IF(C70="entier","integer",IF(C70="booléen","boolean",IF(C70="geojson","geojson",IF(C70="décimal","number",IF(C70="date","date","string"))))))</f>
        <v>geojson</v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>linestring</v>
      </c>
      <c r="N70" s="2" t="str">
        <f aca="false">IF(G70="","",IF(G70="obligatoire","oui","non"))</f>
        <v>oui</v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  <c r="AO70" s="3"/>
      <c r="AP70" s="3"/>
      <c r="AQ70" s="3"/>
      <c r="AR70" s="3"/>
      <c r="AS70" s="3"/>
      <c r="AT70" s="3"/>
      <c r="AU70" s="3"/>
      <c r="AV70" s="3"/>
    </row>
    <row r="71" customFormat="false" ht="12" hidden="false" customHeight="true" outlineLevel="0" collapsed="false">
      <c r="C71" s="23"/>
      <c r="D71" s="23"/>
      <c r="E71" s="30"/>
      <c r="F71" s="30"/>
      <c r="H71" s="25"/>
      <c r="I71" s="25"/>
      <c r="J71" s="25"/>
      <c r="K71" s="20"/>
      <c r="L71" s="21" t="str">
        <f aca="false">IF(C71="","",IF(C71="entier","integer",IF(C71="booléen","boolean",IF(C71="geojson","geojson",IF(C71="décimal","number",IF(C71="date","date","string"))))))</f>
        <v/>
      </c>
      <c r="M71" s="21" t="str">
        <f aca="false">IF(LEFT(B71,9)="coord_gps","geopoint",IF(AND(C71="geojson",B71="geom_surf"),"polygon",IF(AND(C71="geojson",B71="geom_pct"),"point",IF(AND(C71="geojson",B71="geom_lin"),"linestring",IF(C71="url","url_pattern",IF(C71="date","%Y-%M-%D",""))))))</f>
        <v/>
      </c>
      <c r="N71" s="2" t="str">
        <f aca="false">IF(G71="","",IF(G71="obligatoire","oui","non"))</f>
        <v/>
      </c>
      <c r="O71" s="20" t="str">
        <f aca="false">IF(H71="","","oui")</f>
        <v/>
      </c>
      <c r="P71" s="20" t="str">
        <f aca="false">IF(H71="","",H71)</f>
        <v/>
      </c>
      <c r="Q71" s="21" t="str">
        <f aca="false">IF(D71="","","oui")</f>
        <v/>
      </c>
      <c r="S71" s="26"/>
    </row>
    <row r="72" customFormat="false" ht="12.75" hidden="false" customHeight="true" outlineLevel="0" collapsed="false">
      <c r="A72" s="46" t="s">
        <v>260</v>
      </c>
      <c r="B72" s="47"/>
      <c r="C72" s="48"/>
      <c r="D72" s="48"/>
      <c r="E72" s="10"/>
      <c r="F72" s="11"/>
      <c r="G72" s="47"/>
      <c r="H72" s="49"/>
      <c r="I72" s="49"/>
      <c r="J72" s="49"/>
      <c r="K72" s="14"/>
      <c r="L72" s="14"/>
      <c r="M72" s="14"/>
      <c r="N72" s="48"/>
      <c r="O72" s="48"/>
      <c r="P72" s="48"/>
      <c r="Q72" s="48"/>
      <c r="R72" s="47"/>
      <c r="S72" s="50"/>
      <c r="T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</row>
    <row r="73" customFormat="false" ht="12.75" hidden="false" customHeight="true" outlineLevel="0" collapsed="false">
      <c r="A73" s="1" t="s">
        <v>260</v>
      </c>
      <c r="B73" s="17" t="s">
        <v>261</v>
      </c>
      <c r="C73" s="18" t="s">
        <v>23</v>
      </c>
      <c r="D73" s="18"/>
      <c r="E73" s="18" t="s">
        <v>262</v>
      </c>
      <c r="F73" s="18" t="s">
        <v>263</v>
      </c>
      <c r="G73" s="1" t="s">
        <v>26</v>
      </c>
      <c r="H73" s="19"/>
      <c r="I73" s="19"/>
      <c r="J73" s="17" t="s">
        <v>264</v>
      </c>
      <c r="K73" s="20" t="str">
        <f aca="false">B73</f>
        <v>id_obstacle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oui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 t="s">
        <v>28</v>
      </c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260</v>
      </c>
      <c r="B74" s="17" t="s">
        <v>34</v>
      </c>
      <c r="C74" s="18" t="s">
        <v>23</v>
      </c>
      <c r="D74" s="18"/>
      <c r="E74" s="18" t="s">
        <v>237</v>
      </c>
      <c r="F74" s="18" t="s">
        <v>237</v>
      </c>
      <c r="G74" s="1" t="s">
        <v>33</v>
      </c>
      <c r="H74" s="19"/>
      <c r="I74" s="19"/>
      <c r="J74" s="17"/>
      <c r="K74" s="20" t="str">
        <f aca="false">B74</f>
        <v>id_osm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non</v>
      </c>
      <c r="O74" s="20" t="str">
        <f aca="false">IF(H74="","","oui")</f>
        <v/>
      </c>
      <c r="P74" s="20" t="str">
        <f aca="false">IF(H74="","",H74)</f>
        <v/>
      </c>
      <c r="Q74" s="21" t="str">
        <f aca="false">IF(D74="","","oui")</f>
        <v/>
      </c>
      <c r="R74" s="22"/>
      <c r="S74" s="22"/>
      <c r="T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customFormat="false" ht="12.75" hidden="false" customHeight="true" outlineLevel="0" collapsed="false">
      <c r="A75" s="1" t="s">
        <v>260</v>
      </c>
      <c r="B75" s="30" t="s">
        <v>265</v>
      </c>
      <c r="C75" s="23" t="s">
        <v>56</v>
      </c>
      <c r="D75" s="23"/>
      <c r="E75" s="1" t="s">
        <v>266</v>
      </c>
      <c r="F75" s="1" t="s">
        <v>266</v>
      </c>
      <c r="G75" s="1" t="s">
        <v>26</v>
      </c>
      <c r="H75" s="30" t="s">
        <v>265</v>
      </c>
      <c r="I75" s="1" t="s">
        <v>92</v>
      </c>
      <c r="J75" s="17" t="s">
        <v>267</v>
      </c>
      <c r="K75" s="20" t="str">
        <f aca="false">B75</f>
        <v>type_obstacle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oui</v>
      </c>
      <c r="O75" s="20" t="str">
        <f aca="false">IF(H75="","","oui")</f>
        <v>oui</v>
      </c>
      <c r="P75" s="20" t="str">
        <f aca="false">IF(H75="","",H75)</f>
        <v>type_obstacle</v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260</v>
      </c>
      <c r="B76" s="1" t="s">
        <v>268</v>
      </c>
      <c r="C76" s="23" t="s">
        <v>52</v>
      </c>
      <c r="D76" s="23"/>
      <c r="E76" s="1" t="s">
        <v>269</v>
      </c>
      <c r="F76" s="1" t="s">
        <v>269</v>
      </c>
      <c r="G76" s="1" t="s">
        <v>33</v>
      </c>
      <c r="J76" s="17" t="s">
        <v>270</v>
      </c>
      <c r="K76" s="20" t="str">
        <f aca="false">B76</f>
        <v>description_obstacle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/>
      </c>
      <c r="S76" s="26"/>
    </row>
    <row r="77" customFormat="false" ht="12.75" hidden="false" customHeight="true" outlineLevel="0" collapsed="false">
      <c r="A77" s="1" t="s">
        <v>260</v>
      </c>
      <c r="B77" s="37" t="s">
        <v>120</v>
      </c>
      <c r="C77" s="23" t="s">
        <v>271</v>
      </c>
      <c r="D77" s="23" t="s">
        <v>46</v>
      </c>
      <c r="E77" s="37" t="s">
        <v>272</v>
      </c>
      <c r="F77" s="37" t="s">
        <v>273</v>
      </c>
      <c r="G77" s="1" t="s">
        <v>33</v>
      </c>
      <c r="J77" s="17" t="s">
        <v>274</v>
      </c>
      <c r="K77" s="20" t="str">
        <f aca="false">B77</f>
        <v>url_media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non</v>
      </c>
      <c r="O77" s="20" t="str">
        <f aca="false">IF(H77="","","oui")</f>
        <v/>
      </c>
      <c r="P77" s="20" t="str">
        <f aca="false">IF(H77="","",H77)</f>
        <v/>
      </c>
      <c r="Q77" s="21" t="str">
        <f aca="false">IF(D77="","","oui")</f>
        <v>oui</v>
      </c>
      <c r="S77" s="26"/>
    </row>
    <row r="78" customFormat="false" ht="12.75" hidden="false" customHeight="true" outlineLevel="0" collapsed="false">
      <c r="A78" s="1" t="s">
        <v>260</v>
      </c>
      <c r="B78" s="30" t="s">
        <v>275</v>
      </c>
      <c r="C78" s="23" t="s">
        <v>56</v>
      </c>
      <c r="D78" s="23"/>
      <c r="E78" s="1" t="s">
        <v>276</v>
      </c>
      <c r="F78" s="1" t="s">
        <v>277</v>
      </c>
      <c r="G78" s="1" t="s">
        <v>26</v>
      </c>
      <c r="H78" s="30" t="s">
        <v>275</v>
      </c>
      <c r="I78" s="1" t="s">
        <v>278</v>
      </c>
      <c r="J78" s="17" t="s">
        <v>278</v>
      </c>
      <c r="K78" s="20" t="str">
        <f aca="false">B78</f>
        <v>frequence_obstacle</v>
      </c>
      <c r="L78" s="21" t="str">
        <f aca="false">IF(C78="","",IF(C78="entier","integer",IF(C78="booléen","boolean",IF(C78="geojson","geojson",IF(C78="décimal","number",IF(C78="date","date","string"))))))</f>
        <v>string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frequence_obstacle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260</v>
      </c>
      <c r="B79" s="30" t="s">
        <v>279</v>
      </c>
      <c r="C79" s="23" t="s">
        <v>43</v>
      </c>
      <c r="D79" s="23"/>
      <c r="E79" s="1" t="s">
        <v>280</v>
      </c>
      <c r="F79" s="1" t="s">
        <v>281</v>
      </c>
      <c r="G79" s="1" t="s">
        <v>26</v>
      </c>
      <c r="H79" s="30" t="s">
        <v>175</v>
      </c>
      <c r="I79" s="25"/>
      <c r="J79" s="17" t="s">
        <v>194</v>
      </c>
      <c r="K79" s="20" t="str">
        <f aca="false">B79</f>
        <v>reperabilite_obstacle</v>
      </c>
      <c r="L79" s="21" t="str">
        <f aca="false">IF(C79="","",IF(C79="entier","integer",IF(C79="booléen","boolean",IF(C79="geojson","geojson",IF(C79="décimal","number",IF(C79="date","date","string"))))))</f>
        <v>boolean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/>
      </c>
      <c r="N79" s="2" t="str">
        <f aca="false">IF(G79="","",IF(G79="obligatoire","oui","non"))</f>
        <v>oui</v>
      </c>
      <c r="O79" s="20" t="str">
        <f aca="false">IF(H79="","","oui")</f>
        <v>oui</v>
      </c>
      <c r="P79" s="20" t="str">
        <f aca="false">IF(H79="","",H79)</f>
        <v>reperabilite</v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260</v>
      </c>
      <c r="B80" s="1" t="s">
        <v>282</v>
      </c>
      <c r="C80" s="23" t="s">
        <v>73</v>
      </c>
      <c r="D80" s="23"/>
      <c r="E80" s="1" t="s">
        <v>283</v>
      </c>
      <c r="F80" s="1" t="s">
        <v>283</v>
      </c>
      <c r="G80" s="1" t="s">
        <v>33</v>
      </c>
      <c r="H80" s="25"/>
      <c r="I80" s="25"/>
      <c r="J80" s="17" t="s">
        <v>76</v>
      </c>
      <c r="K80" s="20" t="str">
        <f aca="false">B80</f>
        <v>coord_gps_obstacle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geopoint</v>
      </c>
      <c r="N80" s="2" t="str">
        <f aca="false">IF(G80="","",IF(G80="obligatoire","oui","non"))</f>
        <v>non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s="3" customFormat="true" ht="12.75" hidden="false" customHeight="true" outlineLevel="0" collapsed="false">
      <c r="A81" s="1" t="s">
        <v>260</v>
      </c>
      <c r="B81" s="1" t="s">
        <v>284</v>
      </c>
      <c r="C81" s="23" t="s">
        <v>73</v>
      </c>
      <c r="D81" s="23"/>
      <c r="E81" s="30" t="s">
        <v>285</v>
      </c>
      <c r="F81" s="30" t="s">
        <v>286</v>
      </c>
      <c r="G81" s="1" t="s">
        <v>26</v>
      </c>
      <c r="H81" s="25"/>
      <c r="I81" s="25"/>
      <c r="J81" s="17" t="s">
        <v>287</v>
      </c>
      <c r="K81" s="20" t="str">
        <f aca="false">B81</f>
        <v>geom_pct</v>
      </c>
      <c r="L81" s="21" t="str">
        <f aca="false">IF(C81="","",IF(C81="entier","integer",IF(C81="booléen","boolean",IF(C81="geojson","geojson",IF(C81="décimal","number",IF(C81="date","date","string"))))))</f>
        <v>geojson</v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>point</v>
      </c>
      <c r="N81" s="2" t="str">
        <f aca="false">IF(G81="","",IF(G81="obligatoire","oui","non"))</f>
        <v>oui</v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R81" s="1"/>
      <c r="S81" s="26"/>
      <c r="T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0"/>
      <c r="AP81" s="0"/>
      <c r="AQ81" s="0"/>
      <c r="AR81" s="0"/>
      <c r="AS81" s="0"/>
      <c r="AT81" s="0"/>
      <c r="AU81" s="0"/>
      <c r="AV81" s="0"/>
    </row>
    <row r="82" customFormat="false" ht="12.75" hidden="false" customHeight="true" outlineLevel="0" collapsed="false">
      <c r="B82" s="30"/>
      <c r="C82" s="23"/>
      <c r="D82" s="23"/>
      <c r="E82" s="30"/>
      <c r="F82" s="30"/>
      <c r="H82" s="25"/>
      <c r="I82" s="25"/>
      <c r="J82" s="25"/>
      <c r="K82" s="20"/>
      <c r="L82" s="21" t="str">
        <f aca="false">IF(C82="","",IF(C82="entier","integer",IF(C82="booléen","boolean",IF(C82="geojson","geojson",IF(C82="décimal","number",IF(C82="date","date","string"))))))</f>
        <v/>
      </c>
      <c r="M82" s="21" t="str">
        <f aca="false">IF(LEFT(B82,9)="coord_gps","geopoint",IF(AND(C82="geojson",B82="geom_surf"),"polygon",IF(AND(C82="geojson",B82="geom_pct"),"point",IF(AND(C82="geojson",B82="geom_lin"),"linestring",IF(C82="url","url_pattern",IF(C82="date","%Y-%M-%D",""))))))</f>
        <v/>
      </c>
      <c r="N82" s="2" t="str">
        <f aca="false">IF(G82="","",IF(G82="obligatoire","oui","non"))</f>
        <v/>
      </c>
      <c r="O82" s="20" t="str">
        <f aca="false">IF(H82="","","oui")</f>
        <v/>
      </c>
      <c r="P82" s="20" t="str">
        <f aca="false">IF(H82="","",H82)</f>
        <v/>
      </c>
      <c r="Q82" s="21" t="str">
        <f aca="false">IF(D82="","","oui")</f>
        <v/>
      </c>
      <c r="S82" s="26"/>
    </row>
    <row r="83" customFormat="false" ht="12.75" hidden="false" customHeight="true" outlineLevel="0" collapsed="false">
      <c r="A83" s="10" t="s">
        <v>288</v>
      </c>
      <c r="B83" s="12"/>
      <c r="C83" s="11"/>
      <c r="D83" s="11"/>
      <c r="E83" s="10"/>
      <c r="F83" s="11"/>
      <c r="G83" s="12"/>
      <c r="H83" s="13"/>
      <c r="I83" s="13"/>
      <c r="J83" s="13"/>
      <c r="K83" s="14"/>
      <c r="L83" s="14"/>
      <c r="M83" s="14"/>
      <c r="N83" s="48"/>
      <c r="O83" s="48"/>
      <c r="P83" s="48"/>
      <c r="Q83" s="48"/>
      <c r="R83" s="16"/>
      <c r="S83" s="12"/>
      <c r="T83" s="16" t="s">
        <v>21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customFormat="false" ht="12.75" hidden="false" customHeight="true" outlineLevel="0" collapsed="false">
      <c r="A84" s="1" t="s">
        <v>288</v>
      </c>
      <c r="B84" s="17" t="s">
        <v>289</v>
      </c>
      <c r="C84" s="18" t="s">
        <v>23</v>
      </c>
      <c r="D84" s="18"/>
      <c r="E84" s="18" t="s">
        <v>290</v>
      </c>
      <c r="F84" s="18" t="s">
        <v>291</v>
      </c>
      <c r="G84" s="1" t="s">
        <v>26</v>
      </c>
      <c r="H84" s="19"/>
      <c r="I84" s="19"/>
      <c r="J84" s="17" t="s">
        <v>292</v>
      </c>
      <c r="K84" s="20" t="str">
        <f aca="false">B84</f>
        <v>id_arret_tc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R84" s="22" t="s">
        <v>28</v>
      </c>
      <c r="S84" s="17"/>
      <c r="T84" s="22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customFormat="false" ht="12.75" hidden="false" customHeight="true" outlineLevel="0" collapsed="false">
      <c r="A85" s="1" t="s">
        <v>288</v>
      </c>
      <c r="B85" s="1" t="s">
        <v>293</v>
      </c>
      <c r="C85" s="23" t="s">
        <v>52</v>
      </c>
      <c r="D85" s="23"/>
      <c r="E85" s="1" t="s">
        <v>294</v>
      </c>
      <c r="F85" s="1" t="s">
        <v>295</v>
      </c>
      <c r="G85" s="1" t="s">
        <v>26</v>
      </c>
      <c r="H85" s="25"/>
      <c r="I85" s="25"/>
      <c r="J85" s="17" t="s">
        <v>296</v>
      </c>
      <c r="K85" s="20" t="str">
        <f aca="false">B85</f>
        <v>nom_arret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288</v>
      </c>
      <c r="B86" s="1" t="s">
        <v>297</v>
      </c>
      <c r="C86" s="23" t="s">
        <v>52</v>
      </c>
      <c r="D86" s="23"/>
      <c r="E86" s="1" t="s">
        <v>298</v>
      </c>
      <c r="F86" s="1" t="s">
        <v>298</v>
      </c>
      <c r="G86" s="1" t="s">
        <v>26</v>
      </c>
      <c r="H86" s="25"/>
      <c r="I86" s="25"/>
      <c r="J86" s="17" t="s">
        <v>299</v>
      </c>
      <c r="K86" s="20" t="str">
        <f aca="false">B86</f>
        <v>nom_ligne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/>
      </c>
      <c r="P86" s="20" t="str">
        <f aca="false">IF(H86="","",H86)</f>
        <v/>
      </c>
      <c r="Q86" s="21" t="str">
        <f aca="false">IF(D86="","","oui")</f>
        <v/>
      </c>
      <c r="S86" s="26"/>
      <c r="T86" s="26"/>
    </row>
    <row r="87" customFormat="false" ht="12.75" hidden="false" customHeight="true" outlineLevel="0" collapsed="false">
      <c r="A87" s="1" t="s">
        <v>288</v>
      </c>
      <c r="B87" s="31" t="s">
        <v>300</v>
      </c>
      <c r="C87" s="23" t="s">
        <v>56</v>
      </c>
      <c r="D87" s="23" t="s">
        <v>46</v>
      </c>
      <c r="E87" s="1" t="s">
        <v>301</v>
      </c>
      <c r="F87" s="1" t="s">
        <v>302</v>
      </c>
      <c r="G87" s="1" t="s">
        <v>26</v>
      </c>
      <c r="H87" s="31" t="s">
        <v>300</v>
      </c>
      <c r="I87" s="1" t="s">
        <v>303</v>
      </c>
      <c r="J87" s="17" t="s">
        <v>304</v>
      </c>
      <c r="K87" s="20" t="str">
        <f aca="false">B87</f>
        <v>type_tc</v>
      </c>
      <c r="L87" s="21" t="str">
        <f aca="false">IF(C87="","",IF(C87="entier","integer",IF(C87="booléen","boolean",IF(C87="geojson","geojson",IF(C87="décimal","number",IF(C87="date","date","string"))))))</f>
        <v>string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>oui</v>
      </c>
      <c r="P87" s="20" t="str">
        <f aca="false">IF(H87="","",H87)</f>
        <v>type_tc</v>
      </c>
      <c r="Q87" s="21" t="str">
        <f aca="false">IF(D87="","","oui")</f>
        <v>oui</v>
      </c>
      <c r="S87" s="26"/>
      <c r="T87" s="26"/>
      <c r="AO87" s="3"/>
      <c r="AP87" s="3"/>
      <c r="AQ87" s="3"/>
      <c r="AR87" s="3"/>
      <c r="AS87" s="3"/>
      <c r="AT87" s="3"/>
      <c r="AU87" s="3"/>
      <c r="AV87" s="3"/>
    </row>
    <row r="88" customFormat="false" ht="12.75" hidden="false" customHeight="true" outlineLevel="0" collapsed="false">
      <c r="A88" s="1" t="s">
        <v>288</v>
      </c>
      <c r="B88" s="1" t="s">
        <v>305</v>
      </c>
      <c r="C88" s="23" t="s">
        <v>43</v>
      </c>
      <c r="D88" s="23"/>
      <c r="E88" s="1" t="s">
        <v>306</v>
      </c>
      <c r="F88" s="1" t="s">
        <v>306</v>
      </c>
      <c r="G88" s="1" t="s">
        <v>26</v>
      </c>
      <c r="H88" s="25"/>
      <c r="I88" s="25"/>
      <c r="J88" s="17" t="s">
        <v>46</v>
      </c>
      <c r="K88" s="20" t="str">
        <f aca="false">B88</f>
        <v>arret_pmr</v>
      </c>
      <c r="L88" s="21" t="str">
        <f aca="false">IF(C88="","",IF(C88="entier","integer",IF(C88="booléen","boolean",IF(C88="geojson","geojson",IF(C88="décimal","number",IF(C88="date","date","string"))))))</f>
        <v>boolean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/>
      </c>
      <c r="N88" s="2" t="str">
        <f aca="false">IF(G88="","",IF(G88="obligatoire","oui","non"))</f>
        <v>oui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  <c r="AO88" s="3"/>
      <c r="AP88" s="3"/>
      <c r="AQ88" s="3"/>
      <c r="AR88" s="3"/>
      <c r="AS88" s="3"/>
      <c r="AT88" s="3"/>
      <c r="AU88" s="3"/>
      <c r="AV88" s="3"/>
    </row>
    <row r="89" s="3" customFormat="true" ht="12.75" hidden="false" customHeight="true" outlineLevel="0" collapsed="false">
      <c r="A89" s="1" t="s">
        <v>288</v>
      </c>
      <c r="B89" s="1" t="s">
        <v>307</v>
      </c>
      <c r="C89" s="23" t="s">
        <v>73</v>
      </c>
      <c r="D89" s="23"/>
      <c r="E89" s="1" t="s">
        <v>308</v>
      </c>
      <c r="F89" s="1" t="s">
        <v>308</v>
      </c>
      <c r="G89" s="1" t="s">
        <v>33</v>
      </c>
      <c r="H89" s="25"/>
      <c r="I89" s="25"/>
      <c r="J89" s="17" t="s">
        <v>76</v>
      </c>
      <c r="K89" s="20" t="str">
        <f aca="false">B89</f>
        <v>coord_gps_arret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geopoint</v>
      </c>
      <c r="N89" s="2" t="str">
        <f aca="false">IF(G89="","",IF(G89="obligatoire","oui","non"))</f>
        <v>non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R89" s="1"/>
      <c r="S89" s="26"/>
      <c r="T89" s="2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2.75" hidden="false" customHeight="true" outlineLevel="0" collapsed="false">
      <c r="A90" s="1" t="s">
        <v>288</v>
      </c>
      <c r="B90" s="37" t="s">
        <v>120</v>
      </c>
      <c r="C90" s="23" t="s">
        <v>271</v>
      </c>
      <c r="D90" s="23" t="s">
        <v>46</v>
      </c>
      <c r="E90" s="37" t="s">
        <v>309</v>
      </c>
      <c r="F90" s="37" t="s">
        <v>309</v>
      </c>
      <c r="G90" s="1" t="s">
        <v>33</v>
      </c>
      <c r="J90" s="17" t="s">
        <v>274</v>
      </c>
      <c r="K90" s="20" t="str">
        <f aca="false">B90</f>
        <v>url_media</v>
      </c>
      <c r="L90" s="21" t="str">
        <f aca="false">IF(C90="","",IF(C90="entier","integer",IF(C90="booléen","boolean",IF(C90="geojson","geojson",IF(C90="décimal","number",IF(C90="date","date","string"))))))</f>
        <v>string</v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>non</v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>oui</v>
      </c>
      <c r="S90" s="26"/>
      <c r="AO90" s="3"/>
      <c r="AP90" s="3"/>
      <c r="AQ90" s="3"/>
      <c r="AR90" s="3"/>
      <c r="AS90" s="3"/>
      <c r="AT90" s="3"/>
      <c r="AU90" s="3"/>
      <c r="AV90" s="3"/>
    </row>
    <row r="91" customFormat="false" ht="12.75" hidden="false" customHeight="true" outlineLevel="0" collapsed="false">
      <c r="A91" s="1" t="s">
        <v>288</v>
      </c>
      <c r="B91" s="1" t="s">
        <v>284</v>
      </c>
      <c r="C91" s="23" t="s">
        <v>73</v>
      </c>
      <c r="D91" s="23"/>
      <c r="E91" s="1" t="s">
        <v>310</v>
      </c>
      <c r="F91" s="30" t="s">
        <v>286</v>
      </c>
      <c r="G91" s="1" t="s">
        <v>26</v>
      </c>
      <c r="H91" s="25"/>
      <c r="I91" s="25"/>
      <c r="J91" s="17" t="s">
        <v>287</v>
      </c>
      <c r="K91" s="20" t="str">
        <f aca="false">B91</f>
        <v>geom_pct</v>
      </c>
      <c r="L91" s="21" t="str">
        <f aca="false">IF(C91="","",IF(C91="entier","integer",IF(C91="booléen","boolean",IF(C91="geojson","geojson",IF(C91="décimal","number",IF(C91="date","date","string"))))))</f>
        <v>geojson</v>
      </c>
      <c r="M91" s="21" t="str">
        <f aca="false">IF(LEFT(B91,9)="coord_gps","geopoint",IF(AND(C91="geojson",B91="geom_surf"),"polygon",IF(AND(C91="geojson",B91="geom_pct"),"point",IF(AND(C91="geojson",B91="geom_lin"),"linestring",IF(C91="url","url_pattern",IF(C91="date","%Y-%M-%D",""))))))</f>
        <v>point</v>
      </c>
      <c r="N91" s="2" t="str">
        <f aca="false">IF(G91="","",IF(G91="obligatoire","oui","non"))</f>
        <v>oui</v>
      </c>
      <c r="O91" s="20" t="str">
        <f aca="false">IF(H91="","","oui")</f>
        <v/>
      </c>
      <c r="P91" s="20" t="str">
        <f aca="false">IF(H91="","",H91)</f>
        <v/>
      </c>
      <c r="Q91" s="21" t="str">
        <f aca="false">IF(D91="","","oui")</f>
        <v/>
      </c>
      <c r="S91" s="26"/>
      <c r="T91" s="26"/>
    </row>
    <row r="92" customFormat="false" ht="12.75" hidden="false" customHeight="true" outlineLevel="0" collapsed="false">
      <c r="C92" s="23"/>
      <c r="D92" s="23"/>
      <c r="H92" s="25"/>
      <c r="I92" s="25"/>
      <c r="J92" s="25"/>
      <c r="K92" s="20"/>
      <c r="L92" s="21" t="str">
        <f aca="false">IF(C92="","",IF(C92="entier","integer",IF(C92="booléen","boolean",IF(C92="geojson","geojson",IF(C92="décimal","number",IF(C92="date","date","string"))))))</f>
        <v/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/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S92" s="26"/>
      <c r="T92" s="26"/>
    </row>
    <row r="93" customFormat="false" ht="12.75" hidden="false" customHeight="true" outlineLevel="0" collapsed="false">
      <c r="A93" s="10" t="s">
        <v>311</v>
      </c>
      <c r="B93" s="12"/>
      <c r="C93" s="11"/>
      <c r="D93" s="11"/>
      <c r="E93" s="10"/>
      <c r="F93" s="11"/>
      <c r="G93" s="12"/>
      <c r="H93" s="13"/>
      <c r="I93" s="13"/>
      <c r="J93" s="13"/>
      <c r="K93" s="14"/>
      <c r="L93" s="14"/>
      <c r="M93" s="14"/>
      <c r="N93" s="48"/>
      <c r="O93" s="48"/>
      <c r="P93" s="48"/>
      <c r="Q93" s="48"/>
      <c r="R93" s="16"/>
      <c r="S93" s="12"/>
      <c r="T93" s="16" t="s">
        <v>21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customFormat="false" ht="12.75" hidden="false" customHeight="true" outlineLevel="0" collapsed="false">
      <c r="A94" s="1" t="s">
        <v>311</v>
      </c>
      <c r="B94" s="17" t="s">
        <v>312</v>
      </c>
      <c r="C94" s="18" t="s">
        <v>23</v>
      </c>
      <c r="D94" s="18"/>
      <c r="E94" s="18" t="s">
        <v>313</v>
      </c>
      <c r="F94" s="18" t="s">
        <v>314</v>
      </c>
      <c r="G94" s="1" t="s">
        <v>26</v>
      </c>
      <c r="H94" s="19"/>
      <c r="I94" s="19"/>
      <c r="J94" s="19" t="s">
        <v>315</v>
      </c>
      <c r="K94" s="20" t="str">
        <f aca="false">B94</f>
        <v>id_aire_stationnement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oui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R94" s="22" t="s">
        <v>28</v>
      </c>
      <c r="S94" s="17"/>
      <c r="T94" s="22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customFormat="false" ht="12.75" hidden="false" customHeight="true" outlineLevel="0" collapsed="false">
      <c r="A95" s="1" t="s">
        <v>311</v>
      </c>
      <c r="B95" s="1" t="s">
        <v>316</v>
      </c>
      <c r="C95" s="23" t="s">
        <v>52</v>
      </c>
      <c r="D95" s="23"/>
      <c r="E95" s="1" t="s">
        <v>317</v>
      </c>
      <c r="F95" s="1" t="s">
        <v>317</v>
      </c>
      <c r="G95" s="1" t="s">
        <v>26</v>
      </c>
      <c r="H95" s="25"/>
      <c r="I95" s="25"/>
      <c r="J95" s="25" t="s">
        <v>318</v>
      </c>
      <c r="K95" s="20" t="str">
        <f aca="false">B95</f>
        <v>nom_aire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/>
      </c>
      <c r="P95" s="20" t="str">
        <f aca="false">IF(H95="","",H95)</f>
        <v/>
      </c>
      <c r="Q95" s="21" t="str">
        <f aca="false">IF(D95="","","oui")</f>
        <v/>
      </c>
      <c r="AO95" s="3"/>
      <c r="AP95" s="3"/>
      <c r="AQ95" s="3"/>
      <c r="AR95" s="3"/>
      <c r="AS95" s="3"/>
      <c r="AT95" s="3"/>
      <c r="AU95" s="3"/>
      <c r="AV95" s="3"/>
    </row>
    <row r="96" customFormat="false" ht="12.75" hidden="false" customHeight="true" outlineLevel="0" collapsed="false">
      <c r="A96" s="1" t="s">
        <v>311</v>
      </c>
      <c r="B96" s="1" t="s">
        <v>319</v>
      </c>
      <c r="C96" s="23" t="s">
        <v>52</v>
      </c>
      <c r="D96" s="23"/>
      <c r="E96" s="1" t="s">
        <v>320</v>
      </c>
      <c r="F96" s="1" t="s">
        <v>320</v>
      </c>
      <c r="G96" s="1" t="s">
        <v>33</v>
      </c>
      <c r="H96" s="25"/>
      <c r="I96" s="25"/>
      <c r="J96" s="25" t="s">
        <v>321</v>
      </c>
      <c r="K96" s="20" t="str">
        <f aca="false">B96</f>
        <v>adresse_aire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non</v>
      </c>
      <c r="O96" s="20" t="str">
        <f aca="false">IF(H96="","","oui")</f>
        <v/>
      </c>
      <c r="P96" s="20" t="str">
        <f aca="false">IF(H96="","",H96)</f>
        <v/>
      </c>
      <c r="Q96" s="21" t="str">
        <f aca="false">IF(D96="","","oui")</f>
        <v/>
      </c>
      <c r="T96" s="26"/>
      <c r="AO96" s="3"/>
      <c r="AP96" s="3"/>
      <c r="AQ96" s="3"/>
      <c r="AR96" s="3"/>
      <c r="AS96" s="3"/>
      <c r="AT96" s="3"/>
      <c r="AU96" s="3"/>
      <c r="AV96" s="3"/>
    </row>
    <row r="97" customFormat="false" ht="12.75" hidden="false" customHeight="true" outlineLevel="0" collapsed="false">
      <c r="A97" s="1" t="s">
        <v>311</v>
      </c>
      <c r="B97" s="31" t="s">
        <v>322</v>
      </c>
      <c r="C97" s="23" t="s">
        <v>56</v>
      </c>
      <c r="D97" s="23"/>
      <c r="E97" s="53" t="s">
        <v>323</v>
      </c>
      <c r="F97" s="53" t="s">
        <v>323</v>
      </c>
      <c r="G97" s="54" t="s">
        <v>26</v>
      </c>
      <c r="H97" s="31" t="s">
        <v>322</v>
      </c>
      <c r="I97" s="1" t="s">
        <v>324</v>
      </c>
      <c r="J97" s="34" t="s">
        <v>324</v>
      </c>
      <c r="K97" s="20" t="str">
        <f aca="false">B97</f>
        <v>localisation_stationnement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localisation_stationnement</v>
      </c>
      <c r="Q97" s="21" t="str">
        <f aca="false">IF(D97="","","oui")</f>
        <v/>
      </c>
      <c r="T97" s="26"/>
      <c r="AO97" s="3"/>
      <c r="AP97" s="3"/>
      <c r="AQ97" s="3"/>
      <c r="AR97" s="3"/>
      <c r="AS97" s="3"/>
      <c r="AT97" s="3"/>
      <c r="AU97" s="3"/>
      <c r="AV97" s="3"/>
    </row>
    <row r="98" customFormat="false" ht="12.75" hidden="false" customHeight="true" outlineLevel="0" collapsed="false">
      <c r="A98" s="1" t="s">
        <v>311</v>
      </c>
      <c r="B98" s="30" t="s">
        <v>162</v>
      </c>
      <c r="C98" s="23" t="s">
        <v>56</v>
      </c>
      <c r="D98" s="24"/>
      <c r="E98" s="18" t="s">
        <v>245</v>
      </c>
      <c r="F98" s="18" t="s">
        <v>325</v>
      </c>
      <c r="G98" s="54" t="s">
        <v>26</v>
      </c>
      <c r="H98" s="30" t="s">
        <v>162</v>
      </c>
      <c r="I98" s="1" t="s">
        <v>326</v>
      </c>
      <c r="J98" s="1" t="s">
        <v>326</v>
      </c>
      <c r="K98" s="20" t="str">
        <f aca="false">B98</f>
        <v>type_sol</v>
      </c>
      <c r="L98" s="21" t="str">
        <f aca="false">IF(C98="","",IF(C98="entier","integer",IF(C98="booléen","boolean",IF(C98="geojson","geojson",IF(C98="décimal","number",IF(C98="date","date","string"))))))</f>
        <v>string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>oui</v>
      </c>
      <c r="P98" s="20" t="str">
        <f aca="false">IF(H98="","",H98)</f>
        <v>type_sol</v>
      </c>
      <c r="Q98" s="21" t="str">
        <f aca="false">IF(D98="","","oui")</f>
        <v/>
      </c>
      <c r="T98" s="26" t="s">
        <v>21</v>
      </c>
    </row>
    <row r="99" s="3" customFormat="true" ht="12.75" hidden="false" customHeight="true" outlineLevel="0" collapsed="false">
      <c r="A99" s="1" t="s">
        <v>311</v>
      </c>
      <c r="B99" s="51" t="s">
        <v>167</v>
      </c>
      <c r="C99" s="23" t="s">
        <v>56</v>
      </c>
      <c r="D99" s="23"/>
      <c r="E99" s="18" t="s">
        <v>248</v>
      </c>
      <c r="F99" s="18" t="s">
        <v>248</v>
      </c>
      <c r="G99" s="1" t="s">
        <v>26</v>
      </c>
      <c r="H99" s="51" t="s">
        <v>167</v>
      </c>
      <c r="I99" s="25" t="s">
        <v>169</v>
      </c>
      <c r="J99" s="25" t="s">
        <v>169</v>
      </c>
      <c r="K99" s="20" t="str">
        <f aca="false">B99</f>
        <v>etat_sol</v>
      </c>
      <c r="L99" s="21" t="str">
        <f aca="false">IF(C99="","",IF(C99="entier","integer",IF(C99="booléen","boolean",IF(C99="geojson","geojson",IF(C99="décimal","number",IF(C99="date","date","string"))))))</f>
        <v>string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oui</v>
      </c>
      <c r="O99" s="20" t="str">
        <f aca="false">IF(H99="","","oui")</f>
        <v>oui</v>
      </c>
      <c r="P99" s="20" t="str">
        <f aca="false">IF(H99="","",H99)</f>
        <v>etat_sol</v>
      </c>
      <c r="Q99" s="21" t="str">
        <f aca="false">IF(D99="","","oui")</f>
        <v/>
      </c>
      <c r="R99" s="1"/>
      <c r="S99" s="1"/>
      <c r="T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0"/>
      <c r="AP99" s="0"/>
      <c r="AQ99" s="0"/>
      <c r="AR99" s="0"/>
      <c r="AS99" s="0"/>
      <c r="AT99" s="0"/>
      <c r="AU99" s="0"/>
      <c r="AV99" s="0"/>
    </row>
    <row r="100" customFormat="false" ht="12.75" hidden="false" customHeight="true" outlineLevel="0" collapsed="false">
      <c r="A100" s="1" t="s">
        <v>311</v>
      </c>
      <c r="B100" s="1" t="s">
        <v>327</v>
      </c>
      <c r="C100" s="23" t="s">
        <v>35</v>
      </c>
      <c r="D100" s="23"/>
      <c r="E100" s="1" t="s">
        <v>328</v>
      </c>
      <c r="F100" s="1" t="s">
        <v>328</v>
      </c>
      <c r="G100" s="1" t="s">
        <v>26</v>
      </c>
      <c r="H100" s="25"/>
      <c r="I100" s="25"/>
      <c r="J100" s="25" t="n">
        <v>3</v>
      </c>
      <c r="K100" s="20" t="str">
        <f aca="false">B100</f>
        <v>nb_place_pmr</v>
      </c>
      <c r="L100" s="21" t="str">
        <f aca="false">IF(C100="","",IF(C100="entier","integer",IF(C100="booléen","boolean",IF(C100="geojson","geojson",IF(C100="décimal","number",IF(C100="date","date","string"))))))</f>
        <v>integer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oui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311</v>
      </c>
      <c r="B101" s="1" t="s">
        <v>329</v>
      </c>
      <c r="C101" s="23" t="s">
        <v>35</v>
      </c>
      <c r="D101" s="23"/>
      <c r="E101" s="1" t="s">
        <v>330</v>
      </c>
      <c r="F101" s="1" t="s">
        <v>330</v>
      </c>
      <c r="G101" s="1" t="s">
        <v>33</v>
      </c>
      <c r="H101" s="25"/>
      <c r="I101" s="25"/>
      <c r="J101" s="25" t="n">
        <v>0</v>
      </c>
      <c r="K101" s="20" t="str">
        <f aca="false">B101</f>
        <v>nb_place_allongee</v>
      </c>
      <c r="L101" s="21" t="str">
        <f aca="false">IF(C101="","",IF(C101="entier","integer",IF(C101="booléen","boolean",IF(C101="geojson","geojson",IF(C101="décimal","number",IF(C101="date","date","string"))))))</f>
        <v>integer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non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 t="s">
        <v>21</v>
      </c>
    </row>
    <row r="102" customFormat="false" ht="12.75" hidden="false" customHeight="true" outlineLevel="0" collapsed="false">
      <c r="A102" s="1" t="s">
        <v>311</v>
      </c>
      <c r="B102" s="1" t="s">
        <v>331</v>
      </c>
      <c r="C102" s="23" t="s">
        <v>43</v>
      </c>
      <c r="D102" s="23"/>
      <c r="E102" s="1" t="s">
        <v>332</v>
      </c>
      <c r="F102" s="1" t="s">
        <v>333</v>
      </c>
      <c r="G102" s="1" t="s">
        <v>33</v>
      </c>
      <c r="H102" s="25"/>
      <c r="I102" s="25"/>
      <c r="J102" s="25" t="s">
        <v>46</v>
      </c>
      <c r="K102" s="20" t="str">
        <f aca="false">B102</f>
        <v>signaletique_pmr</v>
      </c>
      <c r="L102" s="21" t="str">
        <f aca="false">IF(C102="","",IF(C102="entier","integer",IF(C102="booléen","boolean",IF(C102="geojson","geojson",IF(C102="décimal","number",IF(C102="date","date","string"))))))</f>
        <v>boolean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non</v>
      </c>
      <c r="O102" s="20" t="str">
        <f aca="false">IF(H102="","","oui")</f>
        <v/>
      </c>
      <c r="P102" s="20" t="str">
        <f aca="false">IF(H102="","",H102)</f>
        <v/>
      </c>
      <c r="Q102" s="21" t="str">
        <f aca="false">IF(D102="","","oui")</f>
        <v/>
      </c>
      <c r="T102" s="26" t="s">
        <v>21</v>
      </c>
    </row>
    <row r="103" customFormat="false" ht="12.75" hidden="false" customHeight="true" outlineLevel="0" collapsed="false">
      <c r="A103" s="1" t="s">
        <v>311</v>
      </c>
      <c r="B103" s="1" t="s">
        <v>334</v>
      </c>
      <c r="C103" s="23" t="s">
        <v>43</v>
      </c>
      <c r="D103" s="23"/>
      <c r="E103" s="1" t="s">
        <v>335</v>
      </c>
      <c r="F103" s="1" t="s">
        <v>336</v>
      </c>
      <c r="G103" s="1" t="s">
        <v>26</v>
      </c>
      <c r="H103" s="25"/>
      <c r="I103" s="25"/>
      <c r="J103" s="25" t="s">
        <v>46</v>
      </c>
      <c r="K103" s="20" t="str">
        <f aca="false">B103</f>
        <v>marquage_sol</v>
      </c>
      <c r="L103" s="21" t="str">
        <f aca="false">IF(C103="","",IF(C103="entier","integer",IF(C103="booléen","boolean",IF(C103="geojson","geojson",IF(C103="décimal","number",IF(C103="date","date","string"))))))</f>
        <v>boolean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/>
      </c>
      <c r="P103" s="20" t="str">
        <f aca="false">IF(H103="","",H103)</f>
        <v/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311</v>
      </c>
      <c r="B104" s="25" t="s">
        <v>147</v>
      </c>
      <c r="C104" s="23" t="s">
        <v>56</v>
      </c>
      <c r="D104" s="23"/>
      <c r="E104" s="1" t="s">
        <v>337</v>
      </c>
      <c r="F104" s="1" t="s">
        <v>338</v>
      </c>
      <c r="G104" s="1" t="s">
        <v>26</v>
      </c>
      <c r="H104" s="25" t="s">
        <v>147</v>
      </c>
      <c r="I104" s="25"/>
      <c r="J104" s="25" t="s">
        <v>339</v>
      </c>
      <c r="K104" s="20" t="str">
        <f aca="false">B104</f>
        <v>pente</v>
      </c>
      <c r="L104" s="21" t="str">
        <f aca="false">IF(C104="","",IF(C104="entier","integer",IF(C104="booléen","boolean",IF(C104="geojson","geojson",IF(C104="décimal","number",IF(C104="date","date","string"))))))</f>
        <v>string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>oui</v>
      </c>
      <c r="P104" s="20" t="str">
        <f aca="false">IF(H104="","",H104)</f>
        <v>pente</v>
      </c>
      <c r="Q104" s="21" t="str">
        <f aca="false">IF(D104="","","oui")</f>
        <v/>
      </c>
      <c r="T104" s="26"/>
    </row>
    <row r="105" customFormat="false" ht="12.75" hidden="false" customHeight="true" outlineLevel="0" collapsed="false">
      <c r="A105" s="1" t="s">
        <v>311</v>
      </c>
      <c r="B105" s="32" t="s">
        <v>152</v>
      </c>
      <c r="C105" s="23" t="s">
        <v>56</v>
      </c>
      <c r="D105" s="23"/>
      <c r="E105" s="1" t="s">
        <v>340</v>
      </c>
      <c r="F105" s="1" t="s">
        <v>341</v>
      </c>
      <c r="G105" s="1" t="s">
        <v>26</v>
      </c>
      <c r="H105" s="32" t="s">
        <v>152</v>
      </c>
      <c r="I105" s="25"/>
      <c r="J105" s="25" t="s">
        <v>339</v>
      </c>
      <c r="K105" s="20" t="str">
        <f aca="false">B105</f>
        <v>devers</v>
      </c>
      <c r="L105" s="21" t="str">
        <f aca="false">IF(C105="","",IF(C105="entier","integer",IF(C105="booléen","boolean",IF(C105="geojson","geojson",IF(C105="décimal","number",IF(C105="date","date","string"))))))</f>
        <v>string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>oui</v>
      </c>
      <c r="P105" s="20" t="str">
        <f aca="false">IF(H105="","",H105)</f>
        <v>devers</v>
      </c>
      <c r="Q105" s="21" t="str">
        <f aca="false">IF(D105="","","oui")</f>
        <v/>
      </c>
      <c r="T105" s="26"/>
      <c r="AO105" s="3"/>
      <c r="AP105" s="3"/>
      <c r="AQ105" s="3"/>
      <c r="AR105" s="3"/>
      <c r="AS105" s="3"/>
      <c r="AT105" s="3"/>
      <c r="AU105" s="3"/>
      <c r="AV105" s="3"/>
    </row>
    <row r="106" customFormat="false" ht="12.75" hidden="false" customHeight="true" outlineLevel="0" collapsed="false">
      <c r="A106" s="1" t="s">
        <v>311</v>
      </c>
      <c r="B106" s="1" t="s">
        <v>187</v>
      </c>
      <c r="C106" s="23" t="s">
        <v>43</v>
      </c>
      <c r="D106" s="23"/>
      <c r="E106" s="1" t="s">
        <v>188</v>
      </c>
      <c r="F106" s="1" t="s">
        <v>342</v>
      </c>
      <c r="G106" s="1" t="s">
        <v>26</v>
      </c>
      <c r="H106" s="25"/>
      <c r="I106" s="25"/>
      <c r="J106" s="25" t="s">
        <v>46</v>
      </c>
      <c r="K106" s="20" t="str">
        <f aca="false">B106</f>
        <v>mobilier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  <c r="T106" s="26"/>
      <c r="AO106" s="3"/>
      <c r="AP106" s="3"/>
      <c r="AQ106" s="3"/>
      <c r="AR106" s="3"/>
      <c r="AS106" s="3"/>
      <c r="AT106" s="3"/>
      <c r="AU106" s="3"/>
      <c r="AV106" s="3"/>
    </row>
    <row r="107" s="3" customFormat="true" ht="12.75" hidden="false" customHeight="true" outlineLevel="0" collapsed="false">
      <c r="A107" s="1" t="s">
        <v>311</v>
      </c>
      <c r="B107" s="1" t="s">
        <v>343</v>
      </c>
      <c r="C107" s="23" t="s">
        <v>43</v>
      </c>
      <c r="D107" s="23"/>
      <c r="E107" s="40" t="s">
        <v>344</v>
      </c>
      <c r="F107" s="40" t="s">
        <v>345</v>
      </c>
      <c r="G107" s="1" t="s">
        <v>26</v>
      </c>
      <c r="H107" s="25"/>
      <c r="I107" s="25"/>
      <c r="J107" s="25" t="s">
        <v>46</v>
      </c>
      <c r="K107" s="20" t="str">
        <f aca="false">B107</f>
        <v>accrochage_deux_roues</v>
      </c>
      <c r="L107" s="21" t="str">
        <f aca="false">IF(C107="","",IF(C107="entier","integer",IF(C107="booléen","boolean",IF(C107="geojson","geojson",IF(C107="décimal","number",IF(C107="date","date","string"))))))</f>
        <v>boolean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/>
      </c>
      <c r="N107" s="2" t="str">
        <f aca="false">IF(G107="","",IF(G107="obligatoire","oui","non"))</f>
        <v>oui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R107" s="1"/>
      <c r="S107" s="1"/>
      <c r="T107" s="26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2.75" hidden="false" customHeight="true" outlineLevel="0" collapsed="false">
      <c r="A108" s="1" t="s">
        <v>311</v>
      </c>
      <c r="B108" s="1" t="s">
        <v>346</v>
      </c>
      <c r="C108" s="23" t="s">
        <v>43</v>
      </c>
      <c r="D108" s="23"/>
      <c r="E108" s="1" t="s">
        <v>347</v>
      </c>
      <c r="F108" s="1" t="s">
        <v>348</v>
      </c>
      <c r="G108" s="1" t="s">
        <v>26</v>
      </c>
      <c r="H108" s="25"/>
      <c r="I108" s="25"/>
      <c r="J108" s="25" t="s">
        <v>194</v>
      </c>
      <c r="K108" s="20" t="str">
        <f aca="false">B108</f>
        <v>portique_limiteur</v>
      </c>
      <c r="L108" s="21" t="str">
        <f aca="false">IF(C108="","",IF(C108="entier","integer",IF(C108="booléen","boolean",IF(C108="geojson","geojson",IF(C108="décimal","number",IF(C108="date","date","string"))))))</f>
        <v>boolean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/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A109" s="1" t="s">
        <v>311</v>
      </c>
      <c r="B109" s="37" t="s">
        <v>120</v>
      </c>
      <c r="C109" s="23" t="s">
        <v>271</v>
      </c>
      <c r="D109" s="23" t="s">
        <v>46</v>
      </c>
      <c r="E109" s="37" t="s">
        <v>349</v>
      </c>
      <c r="F109" s="37" t="s">
        <v>350</v>
      </c>
      <c r="G109" s="1" t="s">
        <v>33</v>
      </c>
      <c r="J109" s="17" t="s">
        <v>274</v>
      </c>
      <c r="K109" s="20" t="str">
        <f aca="false">B109</f>
        <v>url_media</v>
      </c>
      <c r="L109" s="21" t="str">
        <f aca="false">IF(C109="","",IF(C109="entier","integer",IF(C109="booléen","boolean",IF(C109="geojson","geojson",IF(C109="décimal","number",IF(C109="date","date","string"))))))</f>
        <v>string</v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>non</v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>oui</v>
      </c>
      <c r="S109" s="26"/>
      <c r="AO109" s="3"/>
      <c r="AP109" s="3"/>
      <c r="AQ109" s="3"/>
      <c r="AR109" s="3"/>
      <c r="AS109" s="3"/>
      <c r="AT109" s="3"/>
      <c r="AU109" s="3"/>
      <c r="AV109" s="3"/>
    </row>
    <row r="110" customFormat="false" ht="12.75" hidden="false" customHeight="true" outlineLevel="0" collapsed="false">
      <c r="A110" s="1" t="s">
        <v>311</v>
      </c>
      <c r="B110" s="1" t="s">
        <v>351</v>
      </c>
      <c r="C110" s="23" t="s">
        <v>73</v>
      </c>
      <c r="D110" s="23"/>
      <c r="E110" s="53" t="s">
        <v>352</v>
      </c>
      <c r="F110" s="53" t="s">
        <v>352</v>
      </c>
      <c r="G110" s="1" t="s">
        <v>33</v>
      </c>
      <c r="H110" s="25"/>
      <c r="I110" s="25"/>
      <c r="J110" s="1" t="s">
        <v>76</v>
      </c>
      <c r="K110" s="20" t="str">
        <f aca="false">B110</f>
        <v>coord_gps_aire</v>
      </c>
      <c r="L110" s="21" t="str">
        <f aca="false">IF(C110="","",IF(C110="entier","integer",IF(C110="booléen","boolean",IF(C110="geojson","geojson",IF(C110="décimal","number",IF(C110="date","date","string"))))))</f>
        <v>geojson</v>
      </c>
      <c r="M110" s="21" t="str">
        <f aca="false">IF(LEFT(B110,9)="coord_gps","geopoint",IF(AND(C110="geojson",B110="geom_surf"),"polygon",IF(AND(C110="geojson",B110="geom_pct"),"point",IF(AND(C110="geojson",B110="geom_lin"),"linestring",IF(C110="url","url_pattern",IF(C110="date","%Y-%M-%D",""))))))</f>
        <v>geopoint</v>
      </c>
      <c r="N110" s="2" t="str">
        <f aca="false">IF(G110="","",IF(G110="obligatoire","oui","non"))</f>
        <v>non</v>
      </c>
      <c r="O110" s="20" t="str">
        <f aca="false">IF(H110="","","oui")</f>
        <v/>
      </c>
      <c r="P110" s="20" t="str">
        <f aca="false">IF(H110="","",H110)</f>
        <v/>
      </c>
      <c r="Q110" s="21" t="str">
        <f aca="false">IF(D110="","","oui")</f>
        <v/>
      </c>
      <c r="T110" s="26"/>
    </row>
    <row r="111" customFormat="false" ht="12.75" hidden="false" customHeight="true" outlineLevel="0" collapsed="false">
      <c r="A111" s="1" t="s">
        <v>311</v>
      </c>
      <c r="B111" s="30" t="s">
        <v>353</v>
      </c>
      <c r="C111" s="23" t="s">
        <v>73</v>
      </c>
      <c r="D111" s="23"/>
      <c r="E111" s="1" t="s">
        <v>354</v>
      </c>
      <c r="F111" s="30" t="s">
        <v>355</v>
      </c>
      <c r="G111" s="1" t="s">
        <v>26</v>
      </c>
      <c r="H111" s="25"/>
      <c r="I111" s="25"/>
      <c r="J111" s="25" t="s">
        <v>287</v>
      </c>
      <c r="K111" s="20" t="str">
        <f aca="false">B111</f>
        <v>geom_surf</v>
      </c>
      <c r="L111" s="21" t="str">
        <f aca="false">IF(C111="","",IF(C111="entier","integer",IF(C111="booléen","boolean",IF(C111="geojson","geojson",IF(C111="décimal","number",IF(C111="date","date","string"))))))</f>
        <v>geojson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>polygon</v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</row>
    <row r="112" customFormat="false" ht="12.75" hidden="false" customHeight="true" outlineLevel="0" collapsed="false">
      <c r="C112" s="23"/>
      <c r="D112" s="23"/>
      <c r="H112" s="25"/>
      <c r="I112" s="25"/>
      <c r="J112" s="25"/>
      <c r="K112" s="20"/>
      <c r="L112" s="21" t="str">
        <f aca="false">IF(C112="","",IF(C112="entier","integer",IF(C112="booléen","boolean",IF(C112="geojson","geojson",IF(C112="décimal","number",IF(C112="date","date","string"))))))</f>
        <v/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/>
      </c>
      <c r="O112" s="20" t="str">
        <f aca="false">IF(H112="","","oui")</f>
        <v/>
      </c>
      <c r="P112" s="20" t="str">
        <f aca="false">IF(H112="","",H112)</f>
        <v/>
      </c>
      <c r="Q112" s="21" t="str">
        <f aca="false">IF(D112="","","oui")</f>
        <v/>
      </c>
    </row>
    <row r="113" customFormat="false" ht="12.75" hidden="false" customHeight="true" outlineLevel="0" collapsed="false">
      <c r="A113" s="10" t="s">
        <v>356</v>
      </c>
      <c r="B113" s="12"/>
      <c r="C113" s="11"/>
      <c r="D113" s="11"/>
      <c r="E113" s="10"/>
      <c r="F113" s="11"/>
      <c r="G113" s="12"/>
      <c r="H113" s="13"/>
      <c r="I113" s="13"/>
      <c r="J113" s="13"/>
      <c r="K113" s="14"/>
      <c r="L113" s="14"/>
      <c r="M113" s="14"/>
      <c r="N113" s="48"/>
      <c r="O113" s="48"/>
      <c r="P113" s="48"/>
      <c r="Q113" s="48"/>
      <c r="R113" s="16"/>
      <c r="S113" s="12"/>
      <c r="T113" s="16" t="s">
        <v>21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3"/>
      <c r="AP113" s="3"/>
      <c r="AQ113" s="3"/>
      <c r="AR113" s="3"/>
      <c r="AS113" s="3"/>
      <c r="AT113" s="3"/>
      <c r="AU113" s="3"/>
      <c r="AV113" s="3"/>
    </row>
    <row r="114" customFormat="false" ht="12.75" hidden="false" customHeight="true" outlineLevel="0" collapsed="false">
      <c r="A114" s="1" t="s">
        <v>356</v>
      </c>
      <c r="B114" s="17" t="s">
        <v>357</v>
      </c>
      <c r="C114" s="18" t="s">
        <v>23</v>
      </c>
      <c r="D114" s="18"/>
      <c r="E114" s="18" t="s">
        <v>358</v>
      </c>
      <c r="F114" s="18" t="s">
        <v>359</v>
      </c>
      <c r="G114" s="1" t="s">
        <v>26</v>
      </c>
      <c r="H114" s="17"/>
      <c r="I114" s="19"/>
      <c r="J114" s="19" t="s">
        <v>360</v>
      </c>
      <c r="K114" s="20" t="str">
        <f aca="false">B114</f>
        <v>id_mobilier</v>
      </c>
      <c r="L114" s="21" t="str">
        <f aca="false">IF(C114="","",IF(C114="entier","integer",IF(C114="booléen","boolean",IF(C114="geojson","geojson",IF(C114="décimal","number",IF(C114="date","date","string"))))))</f>
        <v>string</v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>oui</v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R114" s="22" t="s">
        <v>28</v>
      </c>
      <c r="S114" s="17"/>
      <c r="T114" s="22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"/>
      <c r="AP114" s="3"/>
      <c r="AQ114" s="3"/>
      <c r="AR114" s="3"/>
      <c r="AS114" s="3"/>
      <c r="AT114" s="3"/>
      <c r="AU114" s="3"/>
      <c r="AV114" s="3"/>
    </row>
    <row r="115" customFormat="false" ht="12.75" hidden="false" customHeight="true" outlineLevel="0" collapsed="false">
      <c r="A115" s="1" t="s">
        <v>356</v>
      </c>
      <c r="B115" s="17" t="s">
        <v>361</v>
      </c>
      <c r="C115" s="18" t="s">
        <v>56</v>
      </c>
      <c r="D115" s="18"/>
      <c r="E115" s="18" t="s">
        <v>362</v>
      </c>
      <c r="F115" s="18" t="s">
        <v>362</v>
      </c>
      <c r="G115" s="1" t="s">
        <v>26</v>
      </c>
      <c r="H115" s="17" t="s">
        <v>361</v>
      </c>
      <c r="I115" s="19"/>
      <c r="J115" s="19" t="s">
        <v>363</v>
      </c>
      <c r="K115" s="20" t="str">
        <f aca="false">B115</f>
        <v>type_mobilier</v>
      </c>
      <c r="L115" s="21" t="str">
        <f aca="false">IF(C115="","",IF(C115="entier","integer",IF(C115="booléen","boolean",IF(C115="geojson","geojson",IF(C115="décimal","number",IF(C115="date","date","string"))))))</f>
        <v>string</v>
      </c>
      <c r="M115" s="21" t="str">
        <f aca="false">IF(LEFT(B115,9)="coord_gps","geopoint",IF(AND(C115="geojson",B115="geom_surf"),"polygon",IF(AND(C115="geojson",B115="geom_pct"),"point",IF(AND(C115="geojson",B115="geom_lin"),"linestring",IF(C115="url","url_pattern",IF(C115="date","%Y-%M-%D",""))))))</f>
        <v/>
      </c>
      <c r="N115" s="2" t="str">
        <f aca="false">IF(G115="","",IF(G115="obligatoire","oui","non"))</f>
        <v>oui</v>
      </c>
      <c r="O115" s="20" t="str">
        <f aca="false">IF(H115="","","oui")</f>
        <v>oui</v>
      </c>
      <c r="P115" s="20" t="str">
        <f aca="false">IF(H115="","",H115)</f>
        <v>type_mobilier</v>
      </c>
      <c r="Q115" s="21" t="str">
        <f aca="false">IF(D115="","","oui")</f>
        <v/>
      </c>
      <c r="R115" s="22"/>
      <c r="S115" s="17"/>
      <c r="T115" s="22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"/>
      <c r="AP115" s="3"/>
      <c r="AQ115" s="3"/>
      <c r="AR115" s="3"/>
      <c r="AS115" s="3"/>
      <c r="AT115" s="3"/>
      <c r="AU115" s="3"/>
      <c r="AV115" s="3"/>
    </row>
    <row r="116" customFormat="false" ht="12.75" hidden="false" customHeight="true" outlineLevel="0" collapsed="false">
      <c r="A116" s="1" t="s">
        <v>356</v>
      </c>
      <c r="B116" s="17" t="s">
        <v>364</v>
      </c>
      <c r="C116" s="18"/>
      <c r="D116" s="18"/>
      <c r="E116" s="18" t="s">
        <v>365</v>
      </c>
      <c r="F116" s="18" t="s">
        <v>365</v>
      </c>
      <c r="G116" s="1" t="s">
        <v>26</v>
      </c>
      <c r="H116" s="17" t="s">
        <v>364</v>
      </c>
      <c r="I116" s="19"/>
      <c r="J116" s="19" t="s">
        <v>366</v>
      </c>
      <c r="K116" s="20" t="s">
        <v>364</v>
      </c>
      <c r="L116" s="21" t="s">
        <v>145</v>
      </c>
      <c r="M116" s="21"/>
      <c r="N116" s="2" t="str">
        <f aca="false">IF(G116="","",IF(G116="obligatoire","oui","non"))</f>
        <v>oui</v>
      </c>
      <c r="O116" s="20" t="str">
        <f aca="false">IF(H116="","","oui")</f>
        <v>oui</v>
      </c>
      <c r="P116" s="20" t="str">
        <f aca="false">IF(H116="","",H116)</f>
        <v>etat_mobilier</v>
      </c>
      <c r="Q116" s="21"/>
      <c r="R116" s="22"/>
      <c r="S116" s="17"/>
      <c r="T116" s="22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1" t="s">
        <v>356</v>
      </c>
      <c r="B117" s="37" t="s">
        <v>120</v>
      </c>
      <c r="C117" s="23" t="s">
        <v>271</v>
      </c>
      <c r="D117" s="23" t="s">
        <v>46</v>
      </c>
      <c r="E117" s="37" t="s">
        <v>367</v>
      </c>
      <c r="F117" s="37" t="s">
        <v>368</v>
      </c>
      <c r="G117" s="1" t="s">
        <v>33</v>
      </c>
      <c r="J117" s="17" t="s">
        <v>274</v>
      </c>
      <c r="K117" s="20" t="str">
        <f aca="false">B117</f>
        <v>url_media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non</v>
      </c>
      <c r="O117" s="20" t="str">
        <f aca="false">IF(H117="","","oui")</f>
        <v/>
      </c>
      <c r="P117" s="20" t="str">
        <f aca="false">IF(H117="","",H117)</f>
        <v/>
      </c>
      <c r="Q117" s="21" t="str">
        <f aca="false">IF(D117="","","oui")</f>
        <v>oui</v>
      </c>
      <c r="S117" s="26"/>
      <c r="AO117" s="3"/>
      <c r="AP117" s="3"/>
      <c r="AQ117" s="3"/>
      <c r="AR117" s="3"/>
      <c r="AS117" s="3"/>
      <c r="AT117" s="3"/>
      <c r="AU117" s="3"/>
      <c r="AV117" s="3"/>
    </row>
    <row r="118" customFormat="false" ht="12.75" hidden="false" customHeight="true" outlineLevel="0" collapsed="false">
      <c r="A118" s="1" t="s">
        <v>356</v>
      </c>
      <c r="B118" s="1" t="s">
        <v>284</v>
      </c>
      <c r="C118" s="23" t="s">
        <v>73</v>
      </c>
      <c r="D118" s="23"/>
      <c r="E118" s="1" t="s">
        <v>369</v>
      </c>
      <c r="F118" s="30" t="s">
        <v>370</v>
      </c>
      <c r="G118" s="1" t="s">
        <v>26</v>
      </c>
      <c r="H118" s="17"/>
      <c r="I118" s="19"/>
      <c r="J118" s="25" t="s">
        <v>287</v>
      </c>
      <c r="K118" s="20" t="str">
        <f aca="false">B118</f>
        <v>geom_pct</v>
      </c>
      <c r="L118" s="21" t="str">
        <f aca="false">IF(C118="","",IF(C118="entier","integer",IF(C118="booléen","boolean",IF(C118="geojson","geojson",IF(C118="décimal","number",IF(C118="date","date","string"))))))</f>
        <v>geojson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>point</v>
      </c>
      <c r="N118" s="2" t="str">
        <f aca="false">IF(G118="","",IF(G118="obligatoire","oui","non"))</f>
        <v>oui</v>
      </c>
      <c r="O118" s="20" t="str">
        <f aca="false">IF(H118="","","oui")</f>
        <v/>
      </c>
      <c r="P118" s="20" t="str">
        <f aca="false">IF(H118="","",H118)</f>
        <v/>
      </c>
      <c r="Q118" s="21" t="str">
        <f aca="false">IF(D118="","","oui")</f>
        <v/>
      </c>
      <c r="R118" s="22"/>
      <c r="S118" s="17"/>
      <c r="T118" s="22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customFormat="false" ht="12.75" hidden="false" customHeight="true" outlineLevel="0" collapsed="false">
      <c r="C119" s="23"/>
      <c r="D119" s="23"/>
      <c r="H119" s="25"/>
      <c r="I119" s="25"/>
      <c r="J119" s="25"/>
      <c r="K119" s="20"/>
      <c r="L119" s="21" t="str">
        <f aca="false">IF(C119="","",IF(C119="entier","integer",IF(C119="booléen","boolean",IF(C119="geojson","geojson",IF(C119="décimal","number",IF(C119="date","date","string"))))))</f>
        <v/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/>
      </c>
      <c r="N119" s="2" t="str">
        <f aca="false">IF(G119="","",IF(G119="obligatoire","oui","non"))</f>
        <v/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  <c r="S119" s="26"/>
      <c r="T119" s="26"/>
    </row>
    <row r="120" customFormat="false" ht="12.75" hidden="false" customHeight="true" outlineLevel="0" collapsed="false">
      <c r="A120" s="10" t="s">
        <v>371</v>
      </c>
      <c r="B120" s="12"/>
      <c r="C120" s="11"/>
      <c r="D120" s="11"/>
      <c r="E120" s="10"/>
      <c r="F120" s="11"/>
      <c r="G120" s="12"/>
      <c r="H120" s="13"/>
      <c r="I120" s="13"/>
      <c r="J120" s="13"/>
      <c r="K120" s="14"/>
      <c r="L120" s="14"/>
      <c r="M120" s="14"/>
      <c r="N120" s="48"/>
      <c r="O120" s="48"/>
      <c r="P120" s="48"/>
      <c r="Q120" s="48"/>
      <c r="R120" s="16"/>
      <c r="S120" s="12"/>
      <c r="T120" s="16" t="s">
        <v>21</v>
      </c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customFormat="false" ht="12.75" hidden="false" customHeight="true" outlineLevel="0" collapsed="false">
      <c r="A121" s="1" t="s">
        <v>371</v>
      </c>
      <c r="B121" s="17" t="s">
        <v>372</v>
      </c>
      <c r="C121" s="18" t="s">
        <v>23</v>
      </c>
      <c r="D121" s="18"/>
      <c r="E121" s="18" t="s">
        <v>373</v>
      </c>
      <c r="F121" s="18" t="s">
        <v>373</v>
      </c>
      <c r="G121" s="1" t="s">
        <v>26</v>
      </c>
      <c r="H121" s="19"/>
      <c r="I121" s="19"/>
      <c r="J121" s="1" t="s">
        <v>374</v>
      </c>
      <c r="K121" s="20" t="str">
        <f aca="false">B121</f>
        <v>id_service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oui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  <c r="R121" s="17" t="s">
        <v>28</v>
      </c>
      <c r="S121" s="17"/>
      <c r="T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customFormat="false" ht="12.75" hidden="false" customHeight="true" outlineLevel="0" collapsed="false">
      <c r="A122" s="37" t="s">
        <v>371</v>
      </c>
      <c r="B122" s="55" t="s">
        <v>375</v>
      </c>
      <c r="C122" s="56" t="s">
        <v>56</v>
      </c>
      <c r="D122" s="56" t="s">
        <v>46</v>
      </c>
      <c r="E122" s="56" t="s">
        <v>376</v>
      </c>
      <c r="F122" s="56" t="s">
        <v>377</v>
      </c>
      <c r="G122" s="37" t="s">
        <v>26</v>
      </c>
      <c r="H122" s="55" t="s">
        <v>375</v>
      </c>
      <c r="I122" s="19"/>
      <c r="J122" s="1" t="s">
        <v>378</v>
      </c>
      <c r="K122" s="20" t="str">
        <f aca="false">B122</f>
        <v>type_service</v>
      </c>
      <c r="L122" s="21" t="str">
        <f aca="false">IF(C122="","",IF(C122="entier","integer",IF(C122="booléen","boolean",IF(C122="geojson","geojson",IF(C122="décimal","number",IF(C122="date","date","string"))))))</f>
        <v>string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/>
      </c>
      <c r="N122" s="2" t="str">
        <f aca="false">IF(G122="","",IF(G122="obligatoire","oui","non"))</f>
        <v>oui</v>
      </c>
      <c r="O122" s="20" t="str">
        <f aca="false">IF(H122="","","oui")</f>
        <v>oui</v>
      </c>
      <c r="P122" s="20" t="str">
        <f aca="false">IF(H122="","",H122)</f>
        <v>type_service</v>
      </c>
      <c r="Q122" s="21" t="str">
        <f aca="false">IF(D122="","","oui")</f>
        <v>oui</v>
      </c>
      <c r="R122" s="17"/>
      <c r="S122" s="17"/>
      <c r="T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customFormat="false" ht="12.75" hidden="false" customHeight="true" outlineLevel="0" collapsed="false">
      <c r="A123" s="37" t="s">
        <v>371</v>
      </c>
      <c r="B123" s="57" t="s">
        <v>379</v>
      </c>
      <c r="C123" s="24" t="s">
        <v>56</v>
      </c>
      <c r="D123" s="24" t="s">
        <v>46</v>
      </c>
      <c r="E123" s="58" t="s">
        <v>380</v>
      </c>
      <c r="F123" s="58" t="s">
        <v>380</v>
      </c>
      <c r="G123" s="37" t="s">
        <v>26</v>
      </c>
      <c r="H123" s="57" t="s">
        <v>379</v>
      </c>
      <c r="J123" s="1" t="s">
        <v>173</v>
      </c>
      <c r="K123" s="20" t="str">
        <f aca="false">B123</f>
        <v>type_local</v>
      </c>
      <c r="L123" s="21" t="str">
        <f aca="false">IF(C123="","",IF(C123="entier","integer",IF(C123="booléen","boolean",IF(C123="geojson","geojson",IF(C123="décimal","number",IF(C123="date","date","string"))))))</f>
        <v>string</v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>oui</v>
      </c>
      <c r="O123" s="20" t="str">
        <f aca="false">IF(H123="","","oui")</f>
        <v>oui</v>
      </c>
      <c r="P123" s="20" t="str">
        <f aca="false">IF(H123="","",H123)</f>
        <v>type_local</v>
      </c>
      <c r="Q123" s="21" t="str">
        <f aca="false">IF(D123="","","oui")</f>
        <v>oui</v>
      </c>
    </row>
    <row r="124" customFormat="false" ht="12.75" hidden="false" customHeight="true" outlineLevel="0" collapsed="false">
      <c r="A124" s="37" t="s">
        <v>371</v>
      </c>
      <c r="B124" s="24" t="s">
        <v>381</v>
      </c>
      <c r="C124" s="24" t="s">
        <v>56</v>
      </c>
      <c r="D124" s="24" t="s">
        <v>46</v>
      </c>
      <c r="E124" s="58" t="s">
        <v>382</v>
      </c>
      <c r="F124" s="58" t="s">
        <v>383</v>
      </c>
      <c r="G124" s="37" t="s">
        <v>33</v>
      </c>
      <c r="H124" s="24" t="s">
        <v>381</v>
      </c>
      <c r="J124" s="1" t="s">
        <v>384</v>
      </c>
      <c r="K124" s="20" t="s">
        <v>381</v>
      </c>
      <c r="L124" s="21" t="str">
        <f aca="false">IF(C124="","",IF(C124="entier","integer",IF(C124="booléen","boolean",IF(C124="geojson","geojson",IF(C124="décimal","number",IF(C124="date","date","string"))))))</f>
        <v>string</v>
      </c>
      <c r="M124" s="21"/>
      <c r="N124" s="2" t="str">
        <f aca="false">IF(G124="","",IF(G124="obligatoire","oui","non"))</f>
        <v>non</v>
      </c>
      <c r="O124" s="20" t="s">
        <v>46</v>
      </c>
      <c r="P124" s="20" t="s">
        <v>381</v>
      </c>
      <c r="Q124" s="21" t="s">
        <v>46</v>
      </c>
    </row>
    <row r="125" customFormat="false" ht="12.75" hidden="false" customHeight="true" outlineLevel="0" collapsed="false">
      <c r="A125" s="37" t="s">
        <v>371</v>
      </c>
      <c r="B125" s="57" t="s">
        <v>385</v>
      </c>
      <c r="C125" s="24" t="s">
        <v>78</v>
      </c>
      <c r="D125" s="24"/>
      <c r="E125" s="58" t="s">
        <v>386</v>
      </c>
      <c r="F125" s="58" t="s">
        <v>386</v>
      </c>
      <c r="G125" s="37" t="s">
        <v>33</v>
      </c>
      <c r="H125" s="57"/>
      <c r="J125" s="1" t="s">
        <v>387</v>
      </c>
      <c r="K125" s="20" t="str">
        <f aca="false">B125</f>
        <v>url_local_acceslibre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>url_pattern</v>
      </c>
      <c r="N125" s="2" t="str">
        <f aca="false">IF(G125="","",IF(G125="obligatoire","oui","non"))</f>
        <v>non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</row>
    <row r="126" customFormat="false" ht="12.75" hidden="false" customHeight="true" outlineLevel="0" collapsed="false">
      <c r="A126" s="37" t="s">
        <v>371</v>
      </c>
      <c r="B126" s="37" t="s">
        <v>388</v>
      </c>
      <c r="C126" s="24" t="s">
        <v>56</v>
      </c>
      <c r="D126" s="24" t="s">
        <v>46</v>
      </c>
      <c r="E126" s="58" t="s">
        <v>389</v>
      </c>
      <c r="F126" s="58" t="s">
        <v>389</v>
      </c>
      <c r="G126" s="37" t="s">
        <v>26</v>
      </c>
      <c r="H126" s="37" t="s">
        <v>388</v>
      </c>
      <c r="J126" s="1" t="s">
        <v>390</v>
      </c>
      <c r="K126" s="20" t="str">
        <f aca="false">B126</f>
        <v>aide_psh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aide_psh</v>
      </c>
      <c r="Q126" s="21" t="str">
        <f aca="false">IF(D126="","","oui")</f>
        <v>oui</v>
      </c>
    </row>
    <row r="127" customFormat="false" ht="12.75" hidden="false" customHeight="true" outlineLevel="0" collapsed="false">
      <c r="A127" s="37" t="s">
        <v>371</v>
      </c>
      <c r="B127" s="37" t="s">
        <v>391</v>
      </c>
      <c r="C127" s="24" t="s">
        <v>52</v>
      </c>
      <c r="D127" s="24"/>
      <c r="E127" s="58" t="s">
        <v>392</v>
      </c>
      <c r="F127" s="58" t="s">
        <v>392</v>
      </c>
      <c r="G127" s="37" t="s">
        <v>33</v>
      </c>
      <c r="H127" s="37"/>
      <c r="J127" s="1" t="s">
        <v>393</v>
      </c>
      <c r="K127" s="20" t="str">
        <f aca="false">B127</f>
        <v>commentaire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non</v>
      </c>
      <c r="O127" s="20" t="str">
        <f aca="false">IF(H127="","","oui")</f>
        <v/>
      </c>
      <c r="P127" s="20" t="str">
        <f aca="false">IF(H127="","",H127)</f>
        <v/>
      </c>
      <c r="Q127" s="21" t="str">
        <f aca="false">IF(D127="","","oui")</f>
        <v/>
      </c>
    </row>
    <row r="128" customFormat="false" ht="12.75" hidden="false" customHeight="true" outlineLevel="0" collapsed="false">
      <c r="A128" s="37" t="s">
        <v>371</v>
      </c>
      <c r="B128" s="37" t="s">
        <v>120</v>
      </c>
      <c r="C128" s="23" t="s">
        <v>271</v>
      </c>
      <c r="D128" s="23" t="s">
        <v>46</v>
      </c>
      <c r="E128" s="37" t="s">
        <v>394</v>
      </c>
      <c r="F128" s="37" t="s">
        <v>395</v>
      </c>
      <c r="G128" s="1" t="s">
        <v>33</v>
      </c>
      <c r="J128" s="17" t="s">
        <v>274</v>
      </c>
      <c r="K128" s="20" t="str">
        <f aca="false">B128</f>
        <v>url_media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non</v>
      </c>
      <c r="O128" s="20" t="str">
        <f aca="false">IF(H128="","","oui")</f>
        <v/>
      </c>
      <c r="P128" s="20" t="str">
        <f aca="false">IF(H128="","",H128)</f>
        <v/>
      </c>
      <c r="Q128" s="21" t="str">
        <f aca="false">IF(D128="","","oui")</f>
        <v>oui</v>
      </c>
      <c r="S128" s="26"/>
      <c r="AO128" s="3"/>
      <c r="AP128" s="3"/>
      <c r="AQ128" s="3"/>
      <c r="AR128" s="3"/>
      <c r="AS128" s="3"/>
      <c r="AT128" s="3"/>
      <c r="AU128" s="3"/>
      <c r="AV128" s="3"/>
    </row>
    <row r="129" customFormat="false" ht="12.75" hidden="false" customHeight="true" outlineLevel="0" collapsed="false">
      <c r="A129" s="1" t="s">
        <v>371</v>
      </c>
      <c r="B129" s="1" t="s">
        <v>284</v>
      </c>
      <c r="C129" s="23" t="s">
        <v>73</v>
      </c>
      <c r="D129" s="23"/>
      <c r="E129" s="1" t="s">
        <v>396</v>
      </c>
      <c r="F129" s="30" t="s">
        <v>397</v>
      </c>
      <c r="G129" s="1" t="s">
        <v>26</v>
      </c>
      <c r="H129" s="17"/>
      <c r="J129" s="1" t="s">
        <v>287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</row>
    <row r="130" customFormat="false" ht="12.75" hidden="false" customHeight="true" outlineLevel="0" collapsed="false">
      <c r="C130" s="23"/>
      <c r="D130" s="23"/>
      <c r="H130" s="25"/>
      <c r="I130" s="25"/>
      <c r="K130" s="20"/>
      <c r="L130" s="21" t="str">
        <f aca="false">IF(C130="","",IF(C130="entier","integer",IF(C130="booléen","boolean",IF(C130="geojson","geojson",IF(C130="décimal","number",IF(C130="date","date","string"))))))</f>
        <v/>
      </c>
      <c r="M130" s="21" t="str">
        <f aca="false">IF(LEFT(B130,9)="coord_gps","geopoint",IF(AND(C130="geojson",B130="geom_surf"),"polygon",IF(AND(C130="geojson",B130="geom_pct"),"point",IF(AND(C130="geojson",B130="geom_lin"),"linestring",IF(C130="url","url_pattern",IF(C130="date","%Y-%M-%D",""))))))</f>
        <v/>
      </c>
      <c r="N130" s="2" t="str">
        <f aca="false">IF(G130="","",IF(G130="obligatoire","oui","non"))</f>
        <v/>
      </c>
      <c r="O130" s="20" t="str">
        <f aca="false">IF(H130="","","oui")</f>
        <v/>
      </c>
      <c r="P130" s="20" t="str">
        <f aca="false">IF(H130="","",H130)</f>
        <v/>
      </c>
      <c r="Q130" s="21" t="str">
        <f aca="false">IF(D130="","","oui")</f>
        <v/>
      </c>
      <c r="S130" s="26"/>
      <c r="T130" s="26"/>
    </row>
    <row r="131" customFormat="false" ht="12.75" hidden="false" customHeight="true" outlineLevel="0" collapsed="false">
      <c r="A131" s="10" t="s">
        <v>398</v>
      </c>
      <c r="B131" s="12"/>
      <c r="C131" s="11"/>
      <c r="D131" s="11"/>
      <c r="E131" s="10"/>
      <c r="F131" s="11"/>
      <c r="G131" s="12"/>
      <c r="H131" s="13"/>
      <c r="I131" s="13"/>
      <c r="J131" s="13"/>
      <c r="K131" s="14"/>
      <c r="L131" s="14"/>
      <c r="M131" s="14"/>
      <c r="N131" s="48"/>
      <c r="O131" s="48"/>
      <c r="P131" s="48"/>
      <c r="Q131" s="48"/>
      <c r="R131" s="16"/>
      <c r="S131" s="12"/>
      <c r="T131" s="16" t="s">
        <v>21</v>
      </c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customFormat="false" ht="12.75" hidden="false" customHeight="true" outlineLevel="0" collapsed="false">
      <c r="A132" s="1" t="s">
        <v>398</v>
      </c>
      <c r="B132" s="17" t="s">
        <v>399</v>
      </c>
      <c r="C132" s="18" t="s">
        <v>23</v>
      </c>
      <c r="D132" s="18"/>
      <c r="E132" s="18" t="s">
        <v>400</v>
      </c>
      <c r="F132" s="18" t="s">
        <v>401</v>
      </c>
      <c r="G132" s="1" t="s">
        <v>26</v>
      </c>
      <c r="H132" s="19"/>
      <c r="I132" s="19"/>
      <c r="J132" s="19" t="s">
        <v>402</v>
      </c>
      <c r="K132" s="20" t="str">
        <f aca="false">B132</f>
        <v>id_signaletique</v>
      </c>
      <c r="L132" s="21" t="str">
        <f aca="false">IF(C132="","",IF(C132="entier","integer",IF(C132="booléen","boolean",IF(C132="geojson","geojson",IF(C132="décimal","number",IF(C132="date","date","string"))))))</f>
        <v>string</v>
      </c>
      <c r="M132" s="21" t="str">
        <f aca="false">IF(LEFT(B132,9)="coord_gps","geopoint",IF(AND(C132="geojson",B132="geom_surf"),"polygon",IF(AND(C132="geojson",B132="geom_pct"),"point",IF(AND(C132="geojson",B132="geom_lin"),"linestring",IF(C132="url","url_pattern",IF(C132="date","%Y-%M-%D",""))))))</f>
        <v/>
      </c>
      <c r="N132" s="2" t="str">
        <f aca="false">IF(G132="","",IF(G132="obligatoire","oui","non"))</f>
        <v>oui</v>
      </c>
      <c r="O132" s="20" t="str">
        <f aca="false">IF(H132="","","oui")</f>
        <v/>
      </c>
      <c r="P132" s="20" t="str">
        <f aca="false">IF(H132="","",H132)</f>
        <v/>
      </c>
      <c r="Q132" s="21" t="str">
        <f aca="false">IF(D132="","","oui")</f>
        <v/>
      </c>
      <c r="R132" s="22" t="s">
        <v>28</v>
      </c>
      <c r="S132" s="17"/>
      <c r="T132" s="22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customFormat="false" ht="12.75" hidden="false" customHeight="true" outlineLevel="0" collapsed="false">
      <c r="A133" s="37" t="s">
        <v>398</v>
      </c>
      <c r="B133" s="55" t="s">
        <v>403</v>
      </c>
      <c r="C133" s="24" t="s">
        <v>56</v>
      </c>
      <c r="D133" s="56"/>
      <c r="E133" s="56" t="s">
        <v>404</v>
      </c>
      <c r="F133" s="56" t="s">
        <v>404</v>
      </c>
      <c r="G133" s="37" t="s">
        <v>26</v>
      </c>
      <c r="H133" s="55" t="s">
        <v>403</v>
      </c>
      <c r="I133" s="19"/>
      <c r="J133" s="19" t="s">
        <v>405</v>
      </c>
      <c r="K133" s="20" t="str">
        <f aca="false">B133</f>
        <v>type_support</v>
      </c>
      <c r="L133" s="21" t="str">
        <f aca="false">IF(C133="","",IF(C133="entier","integer",IF(C133="booléen","boolean",IF(C133="geojson","geojson",IF(C133="décimal","number",IF(C133="date","date","string"))))))</f>
        <v>string</v>
      </c>
      <c r="M133" s="21" t="str">
        <f aca="false">IF(LEFT(B133,9)="coord_gps","geopoint",IF(AND(C133="geojson",B133="geom_surf"),"polygon",IF(AND(C133="geojson",B133="geom_pct"),"point",IF(AND(C133="geojson",B133="geom_lin"),"linestring",IF(C133="url","url_pattern",IF(C133="date","%Y-%M-%D",""))))))</f>
        <v/>
      </c>
      <c r="N133" s="2" t="str">
        <f aca="false">IF(G133="","",IF(G133="obligatoire","oui","non"))</f>
        <v>oui</v>
      </c>
      <c r="O133" s="20" t="str">
        <f aca="false">IF(H133="","","oui")</f>
        <v>oui</v>
      </c>
      <c r="P133" s="20" t="str">
        <f aca="false">IF(H133="","",H133)</f>
        <v>type_support</v>
      </c>
      <c r="Q133" s="21" t="str">
        <f aca="false">IF(D133="","","oui")</f>
        <v/>
      </c>
      <c r="R133" s="22"/>
      <c r="S133" s="17"/>
      <c r="T133" s="22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customFormat="false" ht="12.75" hidden="false" customHeight="true" outlineLevel="0" collapsed="false">
      <c r="A134" s="1" t="s">
        <v>398</v>
      </c>
      <c r="B134" s="1" t="s">
        <v>406</v>
      </c>
      <c r="C134" s="23" t="s">
        <v>56</v>
      </c>
      <c r="D134" s="23" t="s">
        <v>46</v>
      </c>
      <c r="E134" s="1" t="s">
        <v>407</v>
      </c>
      <c r="F134" s="1" t="s">
        <v>407</v>
      </c>
      <c r="G134" s="1" t="s">
        <v>26</v>
      </c>
      <c r="H134" s="1" t="s">
        <v>406</v>
      </c>
      <c r="I134" s="25"/>
      <c r="J134" s="25" t="s">
        <v>408</v>
      </c>
      <c r="K134" s="20" t="str">
        <f aca="false">B134</f>
        <v>type_signaletique</v>
      </c>
      <c r="L134" s="21" t="str">
        <f aca="false">IF(C134="","",IF(C134="entier","integer",IF(C134="booléen","boolean",IF(C134="geojson","geojson",IF(C134="décimal","number",IF(C134="date","date","string"))))))</f>
        <v>string</v>
      </c>
      <c r="M134" s="21" t="str">
        <f aca="false">IF(LEFT(B134,9)="coord_gps","geopoint",IF(AND(C134="geojson",B134="geom_surf"),"polygon",IF(AND(C134="geojson",B134="geom_pct"),"point",IF(AND(C134="geojson",B134="geom_lin"),"linestring",IF(C134="url","url_pattern",IF(C134="date","%Y-%M-%D",""))))))</f>
        <v/>
      </c>
      <c r="N134" s="2" t="str">
        <f aca="false">IF(G134="","",IF(G134="obligatoire","oui","non"))</f>
        <v>oui</v>
      </c>
      <c r="O134" s="20" t="str">
        <f aca="false">IF(H134="","","oui")</f>
        <v>oui</v>
      </c>
      <c r="P134" s="20" t="str">
        <f aca="false">IF(H134="","",H134)</f>
        <v>type_signaletique</v>
      </c>
      <c r="Q134" s="21" t="str">
        <f aca="false">IF(D134="","","oui")</f>
        <v>oui</v>
      </c>
      <c r="S134" s="26"/>
      <c r="T134" s="26"/>
    </row>
    <row r="135" customFormat="false" ht="12.75" hidden="false" customHeight="true" outlineLevel="0" collapsed="false">
      <c r="A135" s="37" t="s">
        <v>398</v>
      </c>
      <c r="B135" s="37" t="s">
        <v>409</v>
      </c>
      <c r="C135" s="24" t="s">
        <v>56</v>
      </c>
      <c r="D135" s="24" t="s">
        <v>46</v>
      </c>
      <c r="E135" s="37" t="s">
        <v>410</v>
      </c>
      <c r="F135" s="37" t="s">
        <v>411</v>
      </c>
      <c r="G135" s="37" t="s">
        <v>26</v>
      </c>
      <c r="H135" s="37" t="s">
        <v>409</v>
      </c>
      <c r="I135" s="25"/>
      <c r="J135" s="25" t="s">
        <v>174</v>
      </c>
      <c r="K135" s="20" t="str">
        <f aca="false">B135</f>
        <v>mode_perception</v>
      </c>
      <c r="L135" s="21" t="str">
        <f aca="false">IF(C135="","",IF(C135="entier","integer",IF(C135="booléen","boolean",IF(C135="geojson","geojson",IF(C135="décimal","number",IF(C135="date","date","string"))))))</f>
        <v>string</v>
      </c>
      <c r="M135" s="21" t="str">
        <f aca="false">IF(LEFT(B135,9)="coord_gps","geopoint",IF(AND(C135="geojson",B135="geom_surf"),"polygon",IF(AND(C135="geojson",B135="geom_pct"),"point",IF(AND(C135="geojson",B135="geom_lin"),"linestring",IF(C135="url","url_pattern",IF(C135="date","%Y-%M-%D",""))))))</f>
        <v/>
      </c>
      <c r="N135" s="2" t="str">
        <f aca="false">IF(G135="","",IF(G135="obligatoire","oui","non"))</f>
        <v>oui</v>
      </c>
      <c r="O135" s="20" t="str">
        <f aca="false">IF(H135="","","oui")</f>
        <v>oui</v>
      </c>
      <c r="P135" s="20" t="str">
        <f aca="false">IF(H135="","",H135)</f>
        <v>mode_perception</v>
      </c>
      <c r="Q135" s="21" t="str">
        <f aca="false">IF(D135="","","oui")</f>
        <v>oui</v>
      </c>
      <c r="S135" s="26"/>
      <c r="T135" s="26"/>
    </row>
    <row r="136" customFormat="false" ht="12.75" hidden="false" customHeight="true" outlineLevel="0" collapsed="false">
      <c r="A136" s="37" t="s">
        <v>398</v>
      </c>
      <c r="B136" s="37" t="s">
        <v>120</v>
      </c>
      <c r="C136" s="23" t="s">
        <v>271</v>
      </c>
      <c r="D136" s="23" t="s">
        <v>46</v>
      </c>
      <c r="E136" s="37" t="s">
        <v>412</v>
      </c>
      <c r="F136" s="37" t="s">
        <v>413</v>
      </c>
      <c r="G136" s="1" t="s">
        <v>33</v>
      </c>
      <c r="J136" s="17" t="s">
        <v>274</v>
      </c>
      <c r="K136" s="20" t="str">
        <f aca="false">B136</f>
        <v>url_media</v>
      </c>
      <c r="L136" s="21" t="str">
        <f aca="false">IF(C136="","",IF(C136="entier","integer",IF(C136="booléen","boolean",IF(C136="geojson","geojson",IF(C136="décimal","number",IF(C136="date","date","string"))))))</f>
        <v>string</v>
      </c>
      <c r="M136" s="21" t="str">
        <f aca="false">IF(LEFT(B136,9)="coord_gps","geopoint",IF(AND(C136="geojson",B136="geom_surf"),"polygon",IF(AND(C136="geojson",B136="geom_pct"),"point",IF(AND(C136="geojson",B136="geom_lin"),"linestring",IF(C136="url","url_pattern",IF(C136="date","%Y-%M-%D",""))))))</f>
        <v/>
      </c>
      <c r="N136" s="2" t="str">
        <f aca="false">IF(G136="","",IF(G136="obligatoire","oui","non"))</f>
        <v>non</v>
      </c>
      <c r="O136" s="20" t="str">
        <f aca="false">IF(H136="","","oui")</f>
        <v/>
      </c>
      <c r="P136" s="20" t="str">
        <f aca="false">IF(H136="","",H136)</f>
        <v/>
      </c>
      <c r="Q136" s="21" t="str">
        <f aca="false">IF(D136="","","oui")</f>
        <v>oui</v>
      </c>
      <c r="S136" s="26"/>
      <c r="AO136" s="3"/>
      <c r="AP136" s="3"/>
      <c r="AQ136" s="3"/>
      <c r="AR136" s="3"/>
      <c r="AS136" s="3"/>
      <c r="AT136" s="3"/>
      <c r="AU136" s="3"/>
      <c r="AV136" s="3"/>
    </row>
    <row r="137" customFormat="false" ht="12.75" hidden="false" customHeight="true" outlineLevel="0" collapsed="false">
      <c r="A137" s="1" t="s">
        <v>398</v>
      </c>
      <c r="B137" s="1" t="s">
        <v>284</v>
      </c>
      <c r="C137" s="23" t="s">
        <v>73</v>
      </c>
      <c r="D137" s="23"/>
      <c r="E137" s="1" t="s">
        <v>414</v>
      </c>
      <c r="F137" s="30" t="s">
        <v>415</v>
      </c>
      <c r="G137" s="1" t="s">
        <v>26</v>
      </c>
      <c r="H137" s="17"/>
      <c r="I137" s="19"/>
      <c r="J137" s="25" t="s">
        <v>287</v>
      </c>
      <c r="K137" s="20" t="str">
        <f aca="false">B137</f>
        <v>geom_pct</v>
      </c>
      <c r="L137" s="21" t="str">
        <f aca="false">IF(C137="","",IF(C137="entier","integer",IF(C137="booléen","boolean",IF(C137="geojson","geojson",IF(C137="décimal","number",IF(C137="date","date","string"))))))</f>
        <v>geojson</v>
      </c>
      <c r="M137" s="21" t="str">
        <f aca="false">IF(LEFT(B137,9)="coord_gps","geopoint",IF(AND(C137="geojson",B137="geom_surf"),"polygon",IF(AND(C137="geojson",B137="geom_pct"),"point",IF(AND(C137="geojson",B137="geom_lin"),"linestring",IF(C137="url","url_pattern",IF(C137="date","%Y-%M-%D",""))))))</f>
        <v>point</v>
      </c>
      <c r="N137" s="2" t="str">
        <f aca="false">IF(G137="","",IF(G137="obligatoire","oui","non"))</f>
        <v>oui</v>
      </c>
      <c r="O137" s="20" t="str">
        <f aca="false">IF(H137="","","oui")</f>
        <v/>
      </c>
      <c r="P137" s="20" t="str">
        <f aca="false">IF(H137="","",H137)</f>
        <v/>
      </c>
      <c r="Q137" s="21" t="str">
        <f aca="false">IF(D137="","","oui")</f>
        <v/>
      </c>
      <c r="R137" s="22"/>
      <c r="S137" s="17"/>
      <c r="T137" s="22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3"/>
      <c r="N138" s="59"/>
      <c r="O138" s="60"/>
      <c r="P138" s="59"/>
      <c r="Q138" s="59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K153" s="20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K154" s="20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K155" s="20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K156" s="20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K157" s="20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K158" s="20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K159" s="20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K160" s="20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2.75" hidden="false" customHeight="true" outlineLevel="0" collapsed="false">
      <c r="C329" s="23"/>
      <c r="D329" s="23"/>
      <c r="I329" s="25"/>
      <c r="L329" s="23"/>
      <c r="M329" s="23"/>
      <c r="N329" s="59"/>
      <c r="O329" s="59"/>
      <c r="P329" s="59"/>
      <c r="Q329" s="23"/>
    </row>
    <row r="330" customFormat="false" ht="12.75" hidden="false" customHeight="true" outlineLevel="0" collapsed="false">
      <c r="C330" s="23"/>
      <c r="D330" s="23"/>
      <c r="I330" s="25"/>
      <c r="L330" s="23"/>
      <c r="M330" s="23"/>
      <c r="N330" s="59"/>
      <c r="O330" s="59"/>
      <c r="P330" s="59"/>
      <c r="Q330" s="23"/>
    </row>
    <row r="331" customFormat="false" ht="12.75" hidden="false" customHeight="true" outlineLevel="0" collapsed="false">
      <c r="C331" s="23"/>
      <c r="D331" s="23"/>
      <c r="I331" s="25"/>
      <c r="L331" s="23"/>
      <c r="M331" s="23"/>
      <c r="N331" s="59"/>
      <c r="O331" s="59"/>
      <c r="P331" s="59"/>
      <c r="Q331" s="23"/>
    </row>
    <row r="332" customFormat="false" ht="12.75" hidden="false" customHeight="true" outlineLevel="0" collapsed="false">
      <c r="C332" s="23"/>
      <c r="D332" s="23"/>
      <c r="I332" s="25"/>
      <c r="L332" s="23"/>
      <c r="M332" s="23"/>
      <c r="N332" s="59"/>
      <c r="O332" s="59"/>
      <c r="P332" s="59"/>
      <c r="Q332" s="23"/>
    </row>
    <row r="333" customFormat="false" ht="12.75" hidden="false" customHeight="true" outlineLevel="0" collapsed="false">
      <c r="C333" s="23"/>
      <c r="D333" s="23"/>
      <c r="I333" s="25"/>
      <c r="L333" s="23"/>
      <c r="M333" s="23"/>
      <c r="N333" s="59"/>
      <c r="O333" s="59"/>
      <c r="P333" s="59"/>
      <c r="Q333" s="23"/>
    </row>
    <row r="334" customFormat="false" ht="12.75" hidden="false" customHeight="true" outlineLevel="0" collapsed="false">
      <c r="C334" s="23"/>
      <c r="D334" s="23"/>
      <c r="I334" s="25"/>
      <c r="L334" s="23"/>
      <c r="M334" s="23"/>
      <c r="N334" s="59"/>
      <c r="O334" s="59"/>
      <c r="P334" s="59"/>
      <c r="Q334" s="23"/>
    </row>
    <row r="335" customFormat="false" ht="12.75" hidden="false" customHeight="true" outlineLevel="0" collapsed="false">
      <c r="C335" s="23"/>
      <c r="D335" s="23"/>
      <c r="I335" s="25"/>
      <c r="L335" s="23"/>
      <c r="M335" s="23"/>
      <c r="N335" s="59"/>
      <c r="O335" s="59"/>
      <c r="P335" s="59"/>
      <c r="Q335" s="23"/>
    </row>
    <row r="336" customFormat="false" ht="12.75" hidden="false" customHeight="true" outlineLevel="0" collapsed="false">
      <c r="C336" s="23"/>
      <c r="D336" s="23"/>
      <c r="I336" s="25"/>
      <c r="L336" s="23"/>
      <c r="M336" s="23"/>
      <c r="N336" s="59"/>
      <c r="O336" s="59"/>
      <c r="P336" s="59"/>
      <c r="Q336" s="23"/>
    </row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6" location="type_sol!A1" display="type_sol"/>
    <hyperlink ref="B49" location="pente!A1" display="pente_max_liaison"/>
    <hyperlink ref="H49" location="pente!A1" display="pente"/>
    <hyperlink ref="B50" location="devers!A1" display="devers_max_liaison"/>
    <hyperlink ref="H50" location="devers!A1" display="devers"/>
    <hyperlink ref="B51" location="continuite_repere!A1" display="continuite_repere_liaison"/>
    <hyperlink ref="H51" location="continuite_repere!A1" display="continuite_repere"/>
    <hyperlink ref="F56" r:id="rId2" display="géométrie linéaire du cheminement en projection Lambert93 au format GeoJSON"/>
    <hyperlink ref="B61" location="type_troncon!A1" display="type_troncon"/>
    <hyperlink ref="H61" location="type_troncon!A1" display="type_troncon"/>
    <hyperlink ref="B63" location="pente!A1" display="pente_max"/>
    <hyperlink ref="H63" location="pente!A1" display="pente"/>
    <hyperlink ref="B64" location="devers!A1" display="devers_max"/>
    <hyperlink ref="H64" location="devers!A1" display="devers"/>
    <hyperlink ref="B65" location="type_sol!A1" display="type_sol"/>
    <hyperlink ref="H65" location="type_sol!A1" display="type_sol"/>
    <hyperlink ref="B66" location="etatRevetement!A1" display="etat_sol"/>
    <hyperlink ref="H66" location="etatRevetement!A1" display="etat_sol"/>
    <hyperlink ref="B67" location="reperabilite!A1" display="reperabilite_troncon"/>
    <hyperlink ref="H67" location="reperabilite!A1" display="reperabilite"/>
    <hyperlink ref="B68" location="type_securite!A1" display="type_securite"/>
    <hyperlink ref="H68" location="type_securite!A1" display="type_securite"/>
    <hyperlink ref="F70" r:id="rId3" display="géométrie linéaire du tronçon (2D ou facultativement 3D) en projection Lambert93 au format GeoJSON"/>
    <hyperlink ref="B75" location="type_obstacle!A1" display="type_obstacle"/>
    <hyperlink ref="H75" location="type_obstacle!A1" display="type_obstacle"/>
    <hyperlink ref="B78" location="frequence_obstacle!A1" display="frequence_obstacle"/>
    <hyperlink ref="H78" location="frequence_obstacle!A1" display="frequence_obstacle"/>
    <hyperlink ref="B79" location="reperabilite!A1" display="reperabilite_obstacle"/>
    <hyperlink ref="H79" location="reperabilite!A1" display="reperabilite"/>
    <hyperlink ref="F81" r:id="rId4" display="géométrie ponctuelle de l'obstacle en projection Lambert93 au format GeoJSON"/>
    <hyperlink ref="B87" location="type_tc!A1" display="type_tc"/>
    <hyperlink ref="H87" location="type_tc!A1" display="type_tc"/>
    <hyperlink ref="F91" r:id="rId5" display="géométrie ponctuelle de l'obstacle en projection Lambert93 au format GeoJSON"/>
    <hyperlink ref="B97" location="localisation_stationnement!A1" display="localisation_stationnement"/>
    <hyperlink ref="H97" location="localisation_stationnement!A1" display="localisation_stationnement"/>
    <hyperlink ref="B98" location="type_sol!A1" display="type_sol"/>
    <hyperlink ref="H98" location="type_sol!A1" display="type_sol"/>
    <hyperlink ref="B99" location="etatRevetement!A1" display="etat_sol"/>
    <hyperlink ref="H99" location="etatRevetement!A1" display="etat_sol"/>
    <hyperlink ref="B104" location="pente!A1" display="pente"/>
    <hyperlink ref="H104" location="pente!A1" display="pente"/>
    <hyperlink ref="B105" location="devers!A1" display="devers"/>
    <hyperlink ref="H105" location="devers!A1" display="devers"/>
    <hyperlink ref="F111" r:id="rId6" display="géométrie ponctuelle ou surfacique de l'aire de stationnement en projection Lambert93 au format GeoJSON"/>
    <hyperlink ref="B115" location="type_mobilier!A1" display="type_mobilier"/>
    <hyperlink ref="H115" location="type_mobilier!A1" display="type_mobilier"/>
    <hyperlink ref="B116" location="etat_mobilier!A1" display="etat_mobilier"/>
    <hyperlink ref="H116" location="etat_mobilier!A1" display="etat_mobilier"/>
    <hyperlink ref="F118" r:id="rId7" display="géométrie ponctuelle du mobilier en projection Lambert93 au format GeoJSON"/>
    <hyperlink ref="B122" location="type_service!A1" display="type_service"/>
    <hyperlink ref="H122" location="type_service!A1" display="type_service"/>
    <hyperlink ref="B123" location="type_local!A1" display="type_local"/>
    <hyperlink ref="H123" location="type_local!A1" display="type_local"/>
    <hyperlink ref="B124" location="label_service!A1" display="label_service"/>
    <hyperlink ref="H124" location="label_service!A1" display="label_service"/>
    <hyperlink ref="J125" r:id="rId8" display="https://acceslibre.beta.gouv.fr/app/44-saint-nazaire/a/toilettes-publiques/erp/toilettes-publiques-courance/"/>
    <hyperlink ref="B126" location="aide_psh!A1" display="aide_psh"/>
    <hyperlink ref="H126" location="aide_psh!A1" display="aide_psh"/>
    <hyperlink ref="F129" r:id="rId9" display="géométrie ponctuelle du service en projection Lambert93 au format GeoJSON"/>
    <hyperlink ref="B133" location="type_support!A1" display="type_support"/>
    <hyperlink ref="H133" location="type_support!A1" display="type_support"/>
    <hyperlink ref="B134" location="type_signaletique!A1" display="type_signaletique"/>
    <hyperlink ref="H134" location="type_signaletique!A1" display="type_signaletique"/>
    <hyperlink ref="B135" location="mode_perception!A1" display="mode_perception"/>
    <hyperlink ref="H135" location="mode_perception!A1" display="mode_perception"/>
    <hyperlink ref="F137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4.62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418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419</v>
      </c>
      <c r="B3" s="34" t="s">
        <v>420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421</v>
      </c>
      <c r="B4" s="34" t="s">
        <v>422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A33" s="63"/>
      <c r="W33" s="34"/>
      <c r="X33" s="34"/>
      <c r="Y33" s="34"/>
      <c r="Z33" s="34"/>
    </row>
    <row r="34" customFormat="false" ht="12.75" hidden="false" customHeight="true" outlineLevel="0" collapsed="false">
      <c r="A34" s="64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416</v>
      </c>
      <c r="B1" s="65"/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425</v>
      </c>
      <c r="B2" s="42" t="s">
        <v>426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427</v>
      </c>
      <c r="B3" s="42" t="s">
        <v>428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429</v>
      </c>
      <c r="B4" s="42" t="s">
        <v>430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431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178</v>
      </c>
      <c r="B8" s="42" t="s">
        <v>424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433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178</v>
      </c>
      <c r="B5" s="34" t="s">
        <v>424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153</v>
      </c>
      <c r="B2" s="34" t="s">
        <v>434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148</v>
      </c>
      <c r="B3" s="34" t="s">
        <v>435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436</v>
      </c>
      <c r="B4" s="34" t="s">
        <v>437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438</v>
      </c>
      <c r="B5" s="34" t="s">
        <v>439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1" width="82.36"/>
    <col collapsed="false" customWidth="true" hidden="false" outlineLevel="0" max="5" min="3" style="1" width="12.86"/>
    <col collapsed="false" customWidth="true" hidden="false" outlineLevel="0" max="6" min="6" style="1" width="103.09"/>
    <col collapsed="false" customWidth="true" hidden="false" outlineLevel="0" max="22" min="7" style="1" width="8.71"/>
    <col collapsed="false" customWidth="false" hidden="false" outlineLevel="0" max="16384" min="23" style="1" width="14.42"/>
  </cols>
  <sheetData>
    <row r="1" customFormat="false" ht="12.75" hidden="false" customHeight="true" outlineLevel="0" collapsed="false">
      <c r="A1" s="66" t="s">
        <v>416</v>
      </c>
      <c r="B1" s="67" t="s">
        <v>5</v>
      </c>
      <c r="C1" s="68" t="s">
        <v>417</v>
      </c>
    </row>
    <row r="2" customFormat="false" ht="12.75" hidden="false" customHeight="true" outlineLevel="0" collapsed="false">
      <c r="A2" s="23" t="s">
        <v>440</v>
      </c>
      <c r="B2" s="67"/>
      <c r="C2" s="68"/>
      <c r="F2" s="69"/>
    </row>
    <row r="3" customFormat="false" ht="12.75" hidden="false" customHeight="true" outlineLevel="0" collapsed="false">
      <c r="A3" s="1" t="s">
        <v>441</v>
      </c>
      <c r="F3" s="69"/>
    </row>
    <row r="4" customFormat="false" ht="12.75" hidden="false" customHeight="true" outlineLevel="0" collapsed="false">
      <c r="A4" s="1" t="s">
        <v>442</v>
      </c>
      <c r="F4" s="69"/>
    </row>
    <row r="5" customFormat="false" ht="12.75" hidden="false" customHeight="true" outlineLevel="0" collapsed="false">
      <c r="A5" s="1" t="s">
        <v>443</v>
      </c>
      <c r="B5" s="1" t="s">
        <v>444</v>
      </c>
      <c r="F5" s="69"/>
    </row>
    <row r="6" customFormat="false" ht="12.75" hidden="false" customHeight="true" outlineLevel="0" collapsed="false">
      <c r="A6" s="1" t="s">
        <v>445</v>
      </c>
      <c r="B6" s="1" t="s">
        <v>446</v>
      </c>
      <c r="F6" s="69"/>
    </row>
    <row r="7" customFormat="false" ht="12.75" hidden="false" customHeight="true" outlineLevel="0" collapsed="false">
      <c r="A7" s="1" t="s">
        <v>447</v>
      </c>
      <c r="F7" s="69"/>
    </row>
    <row r="8" customFormat="false" ht="12.75" hidden="false" customHeight="true" outlineLevel="0" collapsed="false">
      <c r="A8" s="1" t="s">
        <v>448</v>
      </c>
      <c r="B8" s="1" t="s">
        <v>449</v>
      </c>
      <c r="F8" s="69"/>
    </row>
    <row r="9" customFormat="false" ht="12.75" hidden="false" customHeight="true" outlineLevel="0" collapsed="false">
      <c r="A9" s="1" t="s">
        <v>450</v>
      </c>
      <c r="B9" s="36" t="s">
        <v>451</v>
      </c>
      <c r="F9" s="69"/>
    </row>
    <row r="10" customFormat="false" ht="12.75" hidden="false" customHeight="true" outlineLevel="0" collapsed="false">
      <c r="A10" s="36" t="s">
        <v>452</v>
      </c>
      <c r="B10" s="1" t="s">
        <v>453</v>
      </c>
      <c r="F10" s="69"/>
    </row>
    <row r="11" customFormat="false" ht="12.75" hidden="false" customHeight="true" outlineLevel="0" collapsed="false">
      <c r="A11" s="1" t="s">
        <v>454</v>
      </c>
      <c r="B11" s="1" t="s">
        <v>455</v>
      </c>
      <c r="F11" s="69"/>
    </row>
    <row r="12" customFormat="false" ht="12.75" hidden="false" customHeight="true" outlineLevel="0" collapsed="false">
      <c r="A12" s="1" t="s">
        <v>456</v>
      </c>
      <c r="B12" s="36" t="s">
        <v>457</v>
      </c>
      <c r="F12" s="69"/>
    </row>
    <row r="13" customFormat="false" ht="12.75" hidden="false" customHeight="true" outlineLevel="0" collapsed="false">
      <c r="A13" s="1" t="s">
        <v>458</v>
      </c>
      <c r="B13" s="1" t="s">
        <v>459</v>
      </c>
      <c r="F13" s="69"/>
    </row>
    <row r="14" customFormat="false" ht="12.75" hidden="false" customHeight="true" outlineLevel="0" collapsed="false">
      <c r="A14" s="1" t="s">
        <v>460</v>
      </c>
      <c r="B14" s="1" t="s">
        <v>461</v>
      </c>
      <c r="F14" s="69"/>
    </row>
    <row r="15" customFormat="false" ht="12.75" hidden="false" customHeight="true" outlineLevel="0" collapsed="false">
      <c r="A15" s="1" t="s">
        <v>462</v>
      </c>
      <c r="B15" s="1" t="s">
        <v>463</v>
      </c>
      <c r="F15" s="69"/>
    </row>
    <row r="16" customFormat="false" ht="12.75" hidden="false" customHeight="true" outlineLevel="0" collapsed="false">
      <c r="A16" s="1" t="s">
        <v>464</v>
      </c>
      <c r="B16" s="1" t="s">
        <v>465</v>
      </c>
      <c r="F16" s="69"/>
    </row>
    <row r="17" customFormat="false" ht="12.75" hidden="false" customHeight="true" outlineLevel="0" collapsed="false">
      <c r="A17" s="1" t="s">
        <v>466</v>
      </c>
      <c r="B17" s="1" t="s">
        <v>467</v>
      </c>
      <c r="F17" s="69"/>
    </row>
    <row r="18" customFormat="false" ht="12.75" hidden="false" customHeight="true" outlineLevel="0" collapsed="false">
      <c r="A18" s="1" t="s">
        <v>432</v>
      </c>
      <c r="B18" s="1" t="s">
        <v>468</v>
      </c>
      <c r="F18" s="69"/>
    </row>
    <row r="19" customFormat="false" ht="12.75" hidden="false" customHeight="true" outlineLevel="0" collapsed="false">
      <c r="F19" s="40"/>
    </row>
    <row r="20" customFormat="false" ht="12.75" hidden="false" customHeight="true" outlineLevel="0" collapsed="false">
      <c r="F20" s="40"/>
    </row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6" t="s">
        <v>416</v>
      </c>
      <c r="B1" s="67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1" t="s">
        <v>366</v>
      </c>
      <c r="B2" s="1"/>
      <c r="W2" s="34"/>
      <c r="X2" s="34"/>
      <c r="Y2" s="34"/>
      <c r="Z2" s="34"/>
    </row>
    <row r="3" customFormat="false" ht="12.75" hidden="false" customHeight="true" outlineLevel="0" collapsed="false">
      <c r="A3" s="23" t="s">
        <v>469</v>
      </c>
      <c r="B3" s="1"/>
      <c r="W3" s="34"/>
      <c r="X3" s="34"/>
      <c r="Y3" s="34"/>
      <c r="Z3" s="34"/>
    </row>
    <row r="4" customFormat="false" ht="12.75" hidden="false" customHeight="true" outlineLevel="0" collapsed="false">
      <c r="A4" s="23" t="s">
        <v>436</v>
      </c>
      <c r="B4" s="1"/>
      <c r="W4" s="34"/>
      <c r="X4" s="34"/>
      <c r="Y4" s="34"/>
      <c r="Z4" s="34"/>
    </row>
    <row r="5" customFormat="false" ht="12.75" hidden="false" customHeight="true" outlineLevel="0" collapsed="false">
      <c r="A5" s="1" t="s">
        <v>470</v>
      </c>
      <c r="B5" s="1"/>
      <c r="W5" s="34"/>
      <c r="X5" s="34"/>
      <c r="Y5" s="34"/>
      <c r="Z5" s="34"/>
    </row>
    <row r="6" customFormat="false" ht="12.75" hidden="false" customHeight="true" outlineLevel="0" collapsed="false">
      <c r="A6" s="1" t="s">
        <v>471</v>
      </c>
      <c r="B6" s="1"/>
      <c r="W6" s="34"/>
      <c r="X6" s="34"/>
      <c r="Y6" s="34"/>
      <c r="Z6" s="34"/>
    </row>
    <row r="7" customFormat="false" ht="12.75" hidden="false" customHeight="true" outlineLevel="0" collapsed="false">
      <c r="A7" s="1" t="s">
        <v>178</v>
      </c>
      <c r="B7" s="1" t="s">
        <v>424</v>
      </c>
      <c r="W7" s="34"/>
      <c r="X7" s="34"/>
      <c r="Y7" s="34"/>
      <c r="Z7" s="34"/>
    </row>
    <row r="8" customFormat="false" ht="12.75" hidden="false" customHeight="true" outlineLevel="0" collapsed="false">
      <c r="A8" s="1" t="s">
        <v>92</v>
      </c>
      <c r="B8" s="1" t="s">
        <v>92</v>
      </c>
      <c r="W8" s="34"/>
      <c r="X8" s="34"/>
      <c r="Y8" s="34"/>
      <c r="Z8" s="34"/>
    </row>
    <row r="9" customFormat="false" ht="12.75" hidden="false" customHeight="true" outlineLevel="0" collapsed="false">
      <c r="A9" s="1"/>
      <c r="B9" s="1"/>
      <c r="W9" s="34"/>
      <c r="X9" s="34"/>
      <c r="Y9" s="34"/>
      <c r="Z9" s="34"/>
    </row>
    <row r="10" customFormat="false" ht="12.75" hidden="false" customHeight="true" outlineLevel="0" collapsed="false">
      <c r="A10" s="1"/>
      <c r="B10" s="1"/>
      <c r="W10" s="34"/>
      <c r="X10" s="34"/>
      <c r="Y10" s="34"/>
      <c r="Z10" s="34"/>
    </row>
    <row r="11" customFormat="false" ht="12.75" hidden="false" customHeight="true" outlineLevel="0" collapsed="false">
      <c r="A11" s="1"/>
      <c r="B11" s="1"/>
      <c r="W11" s="34"/>
      <c r="X11" s="34"/>
      <c r="Y11" s="34"/>
      <c r="Z11" s="34"/>
    </row>
    <row r="12" customFormat="false" ht="12.75" hidden="false" customHeight="true" outlineLevel="0" collapsed="false">
      <c r="A12" s="1"/>
      <c r="B12" s="1"/>
      <c r="W12" s="34"/>
      <c r="X12" s="34"/>
      <c r="Y12" s="34"/>
      <c r="Z12" s="34"/>
    </row>
    <row r="13" customFormat="false" ht="12.75" hidden="false" customHeight="true" outlineLevel="0" collapsed="false">
      <c r="A13" s="1"/>
      <c r="B13" s="1"/>
      <c r="W13" s="34"/>
      <c r="X13" s="34"/>
      <c r="Y13" s="34"/>
      <c r="Z13" s="34"/>
    </row>
    <row r="14" customFormat="false" ht="12.75" hidden="false" customHeight="true" outlineLevel="0" collapsed="false">
      <c r="A14" s="1"/>
      <c r="B14" s="1"/>
      <c r="W14" s="34"/>
      <c r="X14" s="34"/>
      <c r="Y14" s="34"/>
      <c r="Z14" s="34"/>
    </row>
    <row r="15" customFormat="false" ht="12.75" hidden="false" customHeight="true" outlineLevel="0" collapsed="false">
      <c r="A15" s="1"/>
      <c r="B15" s="1"/>
      <c r="W15" s="34"/>
      <c r="X15" s="34"/>
      <c r="Y15" s="34"/>
      <c r="Z15" s="34"/>
    </row>
    <row r="16" customFormat="false" ht="12.75" hidden="false" customHeight="true" outlineLevel="0" collapsed="false">
      <c r="A16" s="1"/>
      <c r="B16" s="1"/>
      <c r="W16" s="34"/>
      <c r="X16" s="34"/>
      <c r="Y16" s="34"/>
      <c r="Z16" s="34"/>
    </row>
    <row r="17" customFormat="false" ht="12.75" hidden="false" customHeight="true" outlineLevel="0" collapsed="false">
      <c r="A17" s="1"/>
      <c r="B17" s="1"/>
      <c r="W17" s="34"/>
      <c r="X17" s="34"/>
      <c r="Y17" s="34"/>
      <c r="Z17" s="34"/>
    </row>
    <row r="18" customFormat="false" ht="12.75" hidden="false" customHeight="true" outlineLevel="0" collapsed="false">
      <c r="A18" s="1"/>
      <c r="B18" s="1"/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169</v>
      </c>
      <c r="B2" s="34" t="s">
        <v>472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473</v>
      </c>
      <c r="B3" s="34" t="s">
        <v>474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475</v>
      </c>
      <c r="B4" s="34" t="s">
        <v>476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478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479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178</v>
      </c>
      <c r="B8" s="34" t="s">
        <v>424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480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481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482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483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484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485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486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178</v>
      </c>
      <c r="B10" s="34" t="s">
        <v>424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416</v>
      </c>
      <c r="B1" s="65"/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487</v>
      </c>
      <c r="B2" s="34" t="s">
        <v>488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489</v>
      </c>
      <c r="B3" s="42" t="s">
        <v>490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491</v>
      </c>
      <c r="B4" s="42" t="s">
        <v>492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173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178</v>
      </c>
      <c r="B6" s="34" t="s">
        <v>424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173</v>
      </c>
      <c r="B2" s="34" t="s">
        <v>173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493</v>
      </c>
      <c r="B3" s="34" t="s">
        <v>494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495</v>
      </c>
      <c r="B4" s="34" t="s">
        <v>496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497</v>
      </c>
      <c r="B5" s="34" t="s">
        <v>498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499</v>
      </c>
      <c r="B6" s="34" t="s">
        <v>500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178</v>
      </c>
      <c r="B7" s="34" t="s">
        <v>424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501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384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502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503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504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42.98"/>
    <col collapsed="false" customWidth="true" hidden="false" outlineLevel="0" max="5" min="3" style="1" width="12.86"/>
    <col collapsed="false" customWidth="true" hidden="false" outlineLevel="0" max="21" min="6" style="1" width="8.71"/>
    <col collapsed="false" customWidth="false" hidden="false" outlineLevel="0" max="16383" min="22" style="1" width="14.42"/>
    <col collapsed="false" customWidth="true" hidden="false" outlineLevel="0" max="16384" min="16384" style="1" width="11.53"/>
  </cols>
  <sheetData>
    <row r="1" customFormat="false" ht="12.75" hidden="false" customHeight="true" outlineLevel="0" collapsed="false">
      <c r="A1" s="67" t="s">
        <v>416</v>
      </c>
      <c r="B1" s="67" t="s">
        <v>5</v>
      </c>
      <c r="C1" s="68" t="s">
        <v>417</v>
      </c>
    </row>
    <row r="2" customFormat="false" ht="12.75" hidden="false" customHeight="true" outlineLevel="0" collapsed="false">
      <c r="A2" s="1" t="s">
        <v>384</v>
      </c>
    </row>
    <row r="3" customFormat="false" ht="12.75" hidden="false" customHeight="true" outlineLevel="0" collapsed="false">
      <c r="A3" s="1" t="s">
        <v>505</v>
      </c>
      <c r="B3" s="1" t="s">
        <v>506</v>
      </c>
    </row>
    <row r="4" customFormat="false" ht="12.75" hidden="false" customHeight="true" outlineLevel="0" collapsed="false">
      <c r="A4" s="1" t="s">
        <v>432</v>
      </c>
    </row>
    <row r="5" customFormat="false" ht="12.75" hidden="false" customHeight="true" outlineLevel="0" collapsed="false">
      <c r="A5" s="1" t="s">
        <v>178</v>
      </c>
      <c r="B5" s="1" t="s">
        <v>424</v>
      </c>
    </row>
    <row r="6" customFormat="false" ht="12.75" hidden="false" customHeight="true" outlineLevel="0" collapsed="false">
      <c r="A6" s="1" t="s">
        <v>92</v>
      </c>
      <c r="B6" s="1" t="s">
        <v>92</v>
      </c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324</v>
      </c>
      <c r="W2" s="34"/>
      <c r="X2" s="34"/>
      <c r="Y2" s="34"/>
    </row>
    <row r="3" customFormat="false" ht="12.75" hidden="false" customHeight="true" outlineLevel="0" collapsed="false">
      <c r="A3" s="34" t="s">
        <v>507</v>
      </c>
      <c r="W3" s="34"/>
      <c r="X3" s="34"/>
      <c r="Y3" s="34"/>
    </row>
    <row r="4" customFormat="false" ht="12.75" hidden="false" customHeight="true" outlineLevel="0" collapsed="false">
      <c r="A4" s="34" t="s">
        <v>508</v>
      </c>
      <c r="W4" s="34"/>
      <c r="X4" s="34"/>
      <c r="Y4" s="34"/>
    </row>
    <row r="5" customFormat="false" ht="12.75" hidden="false" customHeight="true" outlineLevel="0" collapsed="false">
      <c r="A5" s="34" t="s">
        <v>509</v>
      </c>
      <c r="W5" s="34"/>
      <c r="X5" s="34"/>
      <c r="Y5" s="34"/>
    </row>
    <row r="6" customFormat="false" ht="12.75" hidden="false" customHeight="true" outlineLevel="0" collapsed="false">
      <c r="A6" s="34" t="s">
        <v>432</v>
      </c>
      <c r="W6" s="34"/>
      <c r="X6" s="34"/>
      <c r="Y6" s="34"/>
    </row>
    <row r="7" customFormat="false" ht="12.75" hidden="false" customHeight="true" outlineLevel="0" collapsed="false">
      <c r="A7" s="34" t="s">
        <v>178</v>
      </c>
      <c r="B7" s="34" t="s">
        <v>424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510</v>
      </c>
      <c r="W2" s="34"/>
      <c r="X2" s="34"/>
      <c r="Y2" s="34"/>
    </row>
    <row r="3" customFormat="false" ht="12.75" hidden="false" customHeight="true" outlineLevel="0" collapsed="false">
      <c r="A3" s="34" t="s">
        <v>511</v>
      </c>
      <c r="W3" s="34"/>
      <c r="X3" s="34"/>
      <c r="Y3" s="34"/>
    </row>
    <row r="4" customFormat="false" ht="12.75" hidden="false" customHeight="true" outlineLevel="0" collapsed="false">
      <c r="A4" s="34" t="s">
        <v>512</v>
      </c>
      <c r="W4" s="34"/>
      <c r="X4" s="34"/>
      <c r="Y4" s="34"/>
    </row>
    <row r="5" customFormat="false" ht="12.75" hidden="false" customHeight="true" outlineLevel="0" collapsed="false">
      <c r="A5" s="34" t="s">
        <v>432</v>
      </c>
      <c r="W5" s="34"/>
      <c r="X5" s="34"/>
      <c r="Y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6.97"/>
    <col collapsed="false" customWidth="true" hidden="false" outlineLevel="0" max="2" min="2" style="1" width="32"/>
    <col collapsed="false" customWidth="true" hidden="false" outlineLevel="0" max="6" min="3" style="1" width="12.86"/>
    <col collapsed="false" customWidth="true" hidden="false" outlineLevel="0" max="22" min="7" style="1" width="8.71"/>
    <col collapsed="false" customWidth="false" hidden="false" outlineLevel="0" max="16384" min="23" style="1" width="14.42"/>
  </cols>
  <sheetData>
    <row r="1" customFormat="false" ht="12.75" hidden="false" customHeight="true" outlineLevel="0" collapsed="false">
      <c r="A1" s="66" t="s">
        <v>416</v>
      </c>
      <c r="B1" s="67" t="s">
        <v>5</v>
      </c>
      <c r="C1" s="68" t="s">
        <v>417</v>
      </c>
    </row>
    <row r="2" customFormat="false" ht="12.75" hidden="false" customHeight="true" outlineLevel="0" collapsed="false">
      <c r="A2" s="23" t="s">
        <v>513</v>
      </c>
      <c r="B2" s="1" t="s">
        <v>514</v>
      </c>
      <c r="C2" s="68"/>
    </row>
    <row r="3" customFormat="false" ht="12.75" hidden="false" customHeight="true" outlineLevel="0" collapsed="false">
      <c r="A3" s="1" t="s">
        <v>339</v>
      </c>
      <c r="B3" s="1" t="s">
        <v>515</v>
      </c>
    </row>
    <row r="4" customFormat="false" ht="12.75" hidden="false" customHeight="true" outlineLevel="0" collapsed="false">
      <c r="A4" s="1" t="s">
        <v>148</v>
      </c>
      <c r="B4" s="1" t="s">
        <v>516</v>
      </c>
    </row>
    <row r="5" customFormat="false" ht="12.75" hidden="false" customHeight="true" outlineLevel="0" collapsed="false">
      <c r="A5" s="1" t="s">
        <v>244</v>
      </c>
      <c r="B5" s="1" t="s">
        <v>517</v>
      </c>
    </row>
    <row r="6" customFormat="false" ht="12.75" hidden="false" customHeight="true" outlineLevel="0" collapsed="false">
      <c r="A6" s="1" t="s">
        <v>518</v>
      </c>
      <c r="B6" s="1" t="s">
        <v>519</v>
      </c>
    </row>
    <row r="7" customFormat="false" ht="12.75" hidden="false" customHeight="true" outlineLevel="0" collapsed="false">
      <c r="A7" s="1" t="s">
        <v>178</v>
      </c>
      <c r="B7" s="1" t="s">
        <v>424</v>
      </c>
    </row>
    <row r="8" customFormat="false" ht="12.75" hidden="false" customHeight="true" outlineLevel="0" collapsed="false">
      <c r="A8" s="1" t="s">
        <v>92</v>
      </c>
      <c r="B8" s="1" t="s">
        <v>92</v>
      </c>
    </row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252</v>
      </c>
      <c r="W2" s="34"/>
      <c r="X2" s="34"/>
      <c r="Y2" s="34"/>
    </row>
    <row r="3" customFormat="false" ht="12.75" hidden="false" customHeight="true" outlineLevel="0" collapsed="false">
      <c r="A3" s="34" t="s">
        <v>520</v>
      </c>
      <c r="B3" s="34" t="s">
        <v>521</v>
      </c>
      <c r="W3" s="34"/>
      <c r="X3" s="34"/>
      <c r="Y3" s="34"/>
    </row>
    <row r="4" customFormat="false" ht="12.75" hidden="false" customHeight="true" outlineLevel="0" collapsed="false">
      <c r="A4" s="34" t="s">
        <v>522</v>
      </c>
      <c r="W4" s="34"/>
      <c r="X4" s="34"/>
      <c r="Y4" s="34"/>
    </row>
    <row r="5" customFormat="false" ht="12.75" hidden="false" customHeight="true" outlineLevel="0" collapsed="false">
      <c r="A5" s="34" t="s">
        <v>523</v>
      </c>
      <c r="W5" s="34"/>
      <c r="X5" s="34"/>
      <c r="Y5" s="34"/>
    </row>
    <row r="6" customFormat="false" ht="12.75" hidden="false" customHeight="true" outlineLevel="0" collapsed="false">
      <c r="A6" s="34" t="s">
        <v>524</v>
      </c>
      <c r="W6" s="34"/>
      <c r="X6" s="34"/>
      <c r="Y6" s="34"/>
    </row>
    <row r="7" customFormat="false" ht="12.75" hidden="false" customHeight="true" outlineLevel="0" collapsed="false">
      <c r="A7" s="34" t="s">
        <v>173</v>
      </c>
      <c r="W7" s="34"/>
      <c r="X7" s="34"/>
      <c r="Y7" s="34"/>
    </row>
    <row r="8" customFormat="false" ht="12.75" hidden="false" customHeight="true" outlineLevel="0" collapsed="false">
      <c r="A8" s="34" t="s">
        <v>178</v>
      </c>
      <c r="B8" s="34" t="s">
        <v>424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525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416</v>
      </c>
      <c r="B1" s="65"/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526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527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528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529</v>
      </c>
      <c r="B5" s="34" t="s">
        <v>530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531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178</v>
      </c>
      <c r="B8" s="42" t="s">
        <v>424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510</v>
      </c>
      <c r="W2" s="34"/>
      <c r="X2" s="34"/>
      <c r="Y2" s="34"/>
    </row>
    <row r="3" customFormat="false" ht="12.75" hidden="false" customHeight="true" outlineLevel="0" collapsed="false">
      <c r="A3" s="34" t="s">
        <v>512</v>
      </c>
      <c r="W3" s="34"/>
      <c r="X3" s="34"/>
      <c r="Y3" s="34"/>
    </row>
    <row r="4" customFormat="false" ht="12.75" hidden="false" customHeight="true" outlineLevel="0" collapsed="false">
      <c r="A4" s="34" t="s">
        <v>511</v>
      </c>
      <c r="W4" s="34"/>
      <c r="X4" s="34"/>
      <c r="Y4" s="34"/>
    </row>
    <row r="5" customFormat="false" ht="12.75" hidden="false" customHeight="true" outlineLevel="0" collapsed="false">
      <c r="A5" s="34" t="s">
        <v>173</v>
      </c>
      <c r="W5" s="34"/>
      <c r="X5" s="34"/>
      <c r="Y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525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40.6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532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533</v>
      </c>
      <c r="B4" s="34" t="s">
        <v>534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432</v>
      </c>
      <c r="B5" s="34" t="s">
        <v>535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A10" s="70"/>
      <c r="W10" s="34"/>
      <c r="X10" s="34"/>
      <c r="Y10" s="34"/>
      <c r="Z10" s="34"/>
    </row>
    <row r="11" customFormat="false" ht="12.75" hidden="false" customHeight="true" outlineLevel="0" collapsed="false">
      <c r="A11" s="70"/>
      <c r="W11" s="34"/>
      <c r="X11" s="34"/>
      <c r="Y11" s="34"/>
      <c r="Z11" s="34"/>
    </row>
    <row r="12" customFormat="false" ht="12.75" hidden="false" customHeight="true" outlineLevel="0" collapsed="false">
      <c r="A12" s="70"/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416</v>
      </c>
      <c r="B1" s="65"/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536</v>
      </c>
      <c r="B2" s="42" t="s">
        <v>537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538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539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540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541</v>
      </c>
      <c r="B6" s="34" t="s">
        <v>542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178</v>
      </c>
      <c r="B9" s="42" t="s">
        <v>424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416</v>
      </c>
      <c r="B1" s="65"/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543</v>
      </c>
      <c r="B2" s="34" t="s">
        <v>544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545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546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363</v>
      </c>
      <c r="B5" s="34" t="s">
        <v>547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548</v>
      </c>
      <c r="B6" s="34" t="s">
        <v>549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550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551</v>
      </c>
      <c r="B8" s="34" t="s">
        <v>552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553</v>
      </c>
      <c r="B9" s="34" t="s">
        <v>554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555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71" t="s">
        <v>556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557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558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432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178</v>
      </c>
      <c r="B15" s="34" t="s">
        <v>424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559</v>
      </c>
      <c r="W2" s="34"/>
      <c r="X2" s="34"/>
      <c r="Y2" s="34"/>
    </row>
    <row r="3" customFormat="false" ht="12.75" hidden="false" customHeight="true" outlineLevel="0" collapsed="false">
      <c r="A3" s="34" t="s">
        <v>560</v>
      </c>
      <c r="W3" s="34"/>
      <c r="X3" s="34"/>
      <c r="Y3" s="34"/>
    </row>
    <row r="4" customFormat="false" ht="12.75" hidden="false" customHeight="true" outlineLevel="0" collapsed="false">
      <c r="A4" s="34" t="s">
        <v>561</v>
      </c>
      <c r="B4" s="34" t="s">
        <v>562</v>
      </c>
      <c r="W4" s="34"/>
      <c r="X4" s="34"/>
      <c r="Y4" s="34"/>
    </row>
    <row r="5" customFormat="false" ht="12.75" hidden="false" customHeight="true" outlineLevel="0" collapsed="false">
      <c r="A5" s="34" t="s">
        <v>563</v>
      </c>
      <c r="W5" s="34"/>
      <c r="X5" s="34"/>
      <c r="Y5" s="34"/>
    </row>
    <row r="6" customFormat="false" ht="12.75" hidden="false" customHeight="true" outlineLevel="0" collapsed="false">
      <c r="A6" s="34" t="s">
        <v>564</v>
      </c>
      <c r="W6" s="34"/>
      <c r="X6" s="34"/>
      <c r="Y6" s="34"/>
    </row>
    <row r="7" customFormat="false" ht="12.75" hidden="false" customHeight="true" outlineLevel="0" collapsed="false">
      <c r="A7" s="34" t="s">
        <v>565</v>
      </c>
      <c r="B7" s="34" t="s">
        <v>566</v>
      </c>
      <c r="W7" s="34"/>
      <c r="X7" s="34"/>
      <c r="Y7" s="34"/>
    </row>
    <row r="8" customFormat="false" ht="12.75" hidden="false" customHeight="true" outlineLevel="0" collapsed="false">
      <c r="A8" s="34" t="s">
        <v>567</v>
      </c>
      <c r="W8" s="34"/>
      <c r="X8" s="34"/>
      <c r="Y8" s="34"/>
    </row>
    <row r="9" customFormat="false" ht="12.75" hidden="false" customHeight="true" outlineLevel="0" collapsed="false">
      <c r="A9" s="34" t="s">
        <v>568</v>
      </c>
      <c r="W9" s="34"/>
      <c r="X9" s="34"/>
      <c r="Y9" s="34"/>
    </row>
    <row r="10" customFormat="false" ht="12.75" hidden="false" customHeight="true" outlineLevel="0" collapsed="false">
      <c r="A10" s="34" t="s">
        <v>569</v>
      </c>
      <c r="W10" s="34"/>
      <c r="X10" s="34"/>
      <c r="Y10" s="34"/>
    </row>
    <row r="11" customFormat="false" ht="12.75" hidden="false" customHeight="true" outlineLevel="0" collapsed="false">
      <c r="A11" s="34" t="s">
        <v>570</v>
      </c>
      <c r="W11" s="34"/>
      <c r="X11" s="34"/>
      <c r="Y11" s="34"/>
    </row>
    <row r="12" customFormat="false" ht="12.75" hidden="false" customHeight="true" outlineLevel="0" collapsed="false">
      <c r="A12" s="34" t="s">
        <v>571</v>
      </c>
      <c r="W12" s="34"/>
      <c r="X12" s="34"/>
      <c r="Y12" s="34"/>
    </row>
    <row r="13" customFormat="false" ht="12.75" hidden="false" customHeight="true" outlineLevel="0" collapsed="false">
      <c r="A13" s="34" t="s">
        <v>572</v>
      </c>
      <c r="W13" s="34"/>
      <c r="X13" s="34"/>
      <c r="Y13" s="34"/>
    </row>
    <row r="14" customFormat="false" ht="12.75" hidden="false" customHeight="true" outlineLevel="0" collapsed="false">
      <c r="A14" s="34" t="s">
        <v>573</v>
      </c>
      <c r="B14" s="34" t="s">
        <v>574</v>
      </c>
      <c r="W14" s="34"/>
      <c r="X14" s="34"/>
      <c r="Y14" s="34"/>
    </row>
    <row r="15" customFormat="false" ht="12.75" hidden="false" customHeight="true" outlineLevel="0" collapsed="false">
      <c r="A15" s="34" t="s">
        <v>575</v>
      </c>
      <c r="W15" s="34"/>
      <c r="X15" s="34"/>
      <c r="Y15" s="34"/>
    </row>
    <row r="16" customFormat="false" ht="12.75" hidden="false" customHeight="true" outlineLevel="0" collapsed="false">
      <c r="A16" s="34" t="s">
        <v>576</v>
      </c>
      <c r="C16" s="62" t="s">
        <v>417</v>
      </c>
      <c r="W16" s="34"/>
      <c r="X16" s="34"/>
      <c r="Y16" s="34"/>
    </row>
    <row r="17" customFormat="false" ht="12.75" hidden="false" customHeight="true" outlineLevel="0" collapsed="false">
      <c r="A17" s="34" t="s">
        <v>577</v>
      </c>
      <c r="B17" s="34" t="s">
        <v>578</v>
      </c>
      <c r="W17" s="34"/>
      <c r="X17" s="34"/>
      <c r="Y17" s="34"/>
    </row>
    <row r="18" customFormat="false" ht="12.75" hidden="false" customHeight="true" outlineLevel="0" collapsed="false">
      <c r="A18" s="34" t="s">
        <v>579</v>
      </c>
      <c r="B18" s="34" t="s">
        <v>580</v>
      </c>
      <c r="W18" s="34"/>
      <c r="X18" s="34"/>
      <c r="Y18" s="34"/>
    </row>
    <row r="19" customFormat="false" ht="12.75" hidden="false" customHeight="true" outlineLevel="0" collapsed="false">
      <c r="A19" s="34" t="s">
        <v>581</v>
      </c>
      <c r="B19" s="34" t="s">
        <v>580</v>
      </c>
      <c r="W19" s="34"/>
      <c r="X19" s="34"/>
      <c r="Y19" s="34"/>
    </row>
    <row r="20" customFormat="false" ht="12.75" hidden="false" customHeight="true" outlineLevel="0" collapsed="false">
      <c r="A20" s="34" t="s">
        <v>582</v>
      </c>
      <c r="B20" s="34" t="s">
        <v>583</v>
      </c>
      <c r="W20" s="34"/>
      <c r="X20" s="34"/>
      <c r="Y20" s="34"/>
    </row>
    <row r="21" customFormat="false" ht="12.75" hidden="false" customHeight="true" outlineLevel="0" collapsed="false">
      <c r="A21" s="34" t="s">
        <v>584</v>
      </c>
      <c r="W21" s="34"/>
      <c r="X21" s="34"/>
      <c r="Y21" s="34"/>
    </row>
    <row r="22" customFormat="false" ht="12.75" hidden="false" customHeight="true" outlineLevel="0" collapsed="false">
      <c r="A22" s="34" t="s">
        <v>585</v>
      </c>
      <c r="W22" s="34"/>
      <c r="X22" s="34"/>
      <c r="Y22" s="34"/>
    </row>
    <row r="23" customFormat="false" ht="12.75" hidden="false" customHeight="true" outlineLevel="0" collapsed="false">
      <c r="A23" s="34" t="s">
        <v>586</v>
      </c>
      <c r="W23" s="34"/>
      <c r="X23" s="34"/>
      <c r="Y23" s="34"/>
    </row>
    <row r="24" customFormat="false" ht="12.75" hidden="false" customHeight="true" outlineLevel="0" collapsed="false">
      <c r="A24" s="34" t="s">
        <v>587</v>
      </c>
      <c r="W24" s="34"/>
      <c r="X24" s="34"/>
      <c r="Y24" s="34"/>
    </row>
    <row r="25" customFormat="false" ht="12.75" hidden="false" customHeight="true" outlineLevel="0" collapsed="false">
      <c r="A25" s="34" t="s">
        <v>588</v>
      </c>
      <c r="W25" s="34"/>
      <c r="X25" s="34"/>
      <c r="Y25" s="34"/>
    </row>
    <row r="26" customFormat="false" ht="12.75" hidden="false" customHeight="true" outlineLevel="0" collapsed="false">
      <c r="A26" s="34" t="s">
        <v>589</v>
      </c>
      <c r="W26" s="34"/>
      <c r="X26" s="34"/>
      <c r="Y26" s="34"/>
    </row>
    <row r="27" customFormat="false" ht="12.75" hidden="false" customHeight="true" outlineLevel="0" collapsed="false">
      <c r="A27" s="34" t="s">
        <v>590</v>
      </c>
      <c r="B27" s="34" t="s">
        <v>591</v>
      </c>
      <c r="W27" s="34"/>
      <c r="X27" s="34"/>
      <c r="Y27" s="34"/>
    </row>
    <row r="28" customFormat="false" ht="12.75" hidden="false" customHeight="true" outlineLevel="0" collapsed="false">
      <c r="A28" s="34" t="s">
        <v>592</v>
      </c>
      <c r="B28" s="34" t="s">
        <v>593</v>
      </c>
      <c r="W28" s="34"/>
      <c r="X28" s="34"/>
      <c r="Y28" s="34"/>
    </row>
    <row r="29" customFormat="false" ht="12.75" hidden="false" customHeight="true" outlineLevel="0" collapsed="false">
      <c r="A29" s="34" t="s">
        <v>594</v>
      </c>
      <c r="B29" s="34" t="s">
        <v>595</v>
      </c>
      <c r="W29" s="34"/>
      <c r="X29" s="34"/>
      <c r="Y29" s="34"/>
    </row>
    <row r="30" customFormat="false" ht="12.75" hidden="false" customHeight="true" outlineLevel="0" collapsed="false">
      <c r="A30" s="34" t="s">
        <v>596</v>
      </c>
      <c r="B30" s="34" t="s">
        <v>597</v>
      </c>
      <c r="W30" s="34"/>
      <c r="X30" s="34"/>
      <c r="Y30" s="34"/>
    </row>
    <row r="31" customFormat="false" ht="12.75" hidden="false" customHeight="true" outlineLevel="0" collapsed="false">
      <c r="A31" s="34" t="s">
        <v>598</v>
      </c>
      <c r="B31" s="34" t="s">
        <v>599</v>
      </c>
      <c r="W31" s="34"/>
      <c r="X31" s="34"/>
      <c r="Y31" s="34"/>
    </row>
    <row r="32" customFormat="false" ht="12.75" hidden="false" customHeight="true" outlineLevel="0" collapsed="false">
      <c r="A32" s="34" t="s">
        <v>600</v>
      </c>
      <c r="W32" s="34"/>
      <c r="X32" s="34"/>
      <c r="Y32" s="34"/>
    </row>
    <row r="33" customFormat="false" ht="12.75" hidden="false" customHeight="true" outlineLevel="0" collapsed="false">
      <c r="A33" s="34" t="s">
        <v>601</v>
      </c>
      <c r="B33" s="34" t="s">
        <v>602</v>
      </c>
      <c r="W33" s="34"/>
      <c r="X33" s="34"/>
      <c r="Y33" s="34"/>
    </row>
    <row r="34" customFormat="false" ht="12.75" hidden="false" customHeight="true" outlineLevel="0" collapsed="false">
      <c r="A34" s="34" t="s">
        <v>603</v>
      </c>
      <c r="W34" s="34"/>
      <c r="X34" s="34"/>
      <c r="Y34" s="34"/>
    </row>
    <row r="35" customFormat="false" ht="12.75" hidden="false" customHeight="true" outlineLevel="0" collapsed="false">
      <c r="A35" s="34" t="s">
        <v>604</v>
      </c>
      <c r="W35" s="34"/>
      <c r="X35" s="34"/>
      <c r="Y35" s="34"/>
    </row>
    <row r="36" customFormat="false" ht="12.75" hidden="false" customHeight="true" outlineLevel="0" collapsed="false">
      <c r="A36" s="34" t="s">
        <v>605</v>
      </c>
      <c r="W36" s="34"/>
      <c r="X36" s="34"/>
      <c r="Y36" s="34"/>
    </row>
    <row r="37" customFormat="false" ht="12.75" hidden="false" customHeight="true" outlineLevel="0" collapsed="false">
      <c r="A37" s="34" t="s">
        <v>606</v>
      </c>
      <c r="W37" s="34"/>
      <c r="X37" s="34"/>
      <c r="Y37" s="34"/>
    </row>
    <row r="38" customFormat="false" ht="12.75" hidden="false" customHeight="true" outlineLevel="0" collapsed="false">
      <c r="A38" s="34" t="s">
        <v>607</v>
      </c>
      <c r="W38" s="34"/>
      <c r="X38" s="34"/>
      <c r="Y38" s="34"/>
    </row>
    <row r="39" customFormat="false" ht="12.75" hidden="false" customHeight="true" outlineLevel="0" collapsed="false">
      <c r="A39" s="34" t="s">
        <v>432</v>
      </c>
      <c r="W39" s="34"/>
      <c r="X39" s="34"/>
      <c r="Y39" s="34"/>
    </row>
    <row r="40" customFormat="false" ht="12.75" hidden="false" customHeight="true" outlineLevel="0" collapsed="false">
      <c r="A40" s="34" t="s">
        <v>178</v>
      </c>
      <c r="B40" s="34" t="s">
        <v>424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608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609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610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432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178</v>
      </c>
      <c r="B7" s="34" t="s">
        <v>424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611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612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613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614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615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616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617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618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619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620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621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432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178</v>
      </c>
      <c r="B14" s="34" t="s">
        <v>424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622</v>
      </c>
      <c r="W2" s="34"/>
      <c r="X2" s="34"/>
      <c r="Y2" s="34"/>
    </row>
    <row r="3" customFormat="false" ht="12.75" hidden="false" customHeight="true" outlineLevel="0" collapsed="false">
      <c r="A3" s="34" t="s">
        <v>623</v>
      </c>
      <c r="W3" s="34"/>
      <c r="X3" s="34"/>
      <c r="Y3" s="34"/>
    </row>
    <row r="4" customFormat="false" ht="12.75" hidden="false" customHeight="true" outlineLevel="0" collapsed="false">
      <c r="A4" s="34" t="s">
        <v>624</v>
      </c>
      <c r="B4" s="34" t="s">
        <v>625</v>
      </c>
      <c r="W4" s="34"/>
      <c r="X4" s="34"/>
      <c r="Y4" s="34"/>
    </row>
    <row r="5" customFormat="false" ht="12.75" hidden="false" customHeight="true" outlineLevel="0" collapsed="false">
      <c r="A5" s="34" t="s">
        <v>626</v>
      </c>
      <c r="B5" s="34" t="s">
        <v>627</v>
      </c>
      <c r="W5" s="34"/>
      <c r="X5" s="34"/>
      <c r="Y5" s="34"/>
    </row>
    <row r="6" customFormat="false" ht="12.75" hidden="false" customHeight="true" outlineLevel="0" collapsed="false">
      <c r="A6" s="34" t="s">
        <v>628</v>
      </c>
      <c r="W6" s="34"/>
      <c r="X6" s="34"/>
      <c r="Y6" s="34"/>
    </row>
    <row r="7" customFormat="false" ht="12.75" hidden="false" customHeight="true" outlineLevel="0" collapsed="false">
      <c r="A7" s="34" t="s">
        <v>432</v>
      </c>
      <c r="W7" s="34"/>
      <c r="X7" s="34"/>
      <c r="Y7" s="34"/>
    </row>
    <row r="8" customFormat="false" ht="12.75" hidden="false" customHeight="true" outlineLevel="0" collapsed="false">
      <c r="A8" s="34" t="s">
        <v>178</v>
      </c>
      <c r="B8" s="34" t="s">
        <v>424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42" t="s">
        <v>629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630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631</v>
      </c>
      <c r="B4" s="34" t="s">
        <v>632</v>
      </c>
      <c r="W4" s="34"/>
      <c r="X4" s="34"/>
      <c r="Y4" s="34"/>
    </row>
    <row r="5" customFormat="false" ht="12.75" hidden="false" customHeight="true" outlineLevel="0" collapsed="false">
      <c r="A5" s="34" t="s">
        <v>633</v>
      </c>
      <c r="B5" s="34" t="s">
        <v>634</v>
      </c>
      <c r="W5" s="34"/>
      <c r="X5" s="34"/>
      <c r="Y5" s="34"/>
    </row>
    <row r="6" customFormat="false" ht="12.75" hidden="false" customHeight="true" outlineLevel="0" collapsed="false">
      <c r="A6" s="34" t="s">
        <v>635</v>
      </c>
      <c r="B6" s="34" t="s">
        <v>636</v>
      </c>
      <c r="W6" s="34"/>
      <c r="X6" s="34"/>
      <c r="Y6" s="34"/>
    </row>
    <row r="7" customFormat="false" ht="12.75" hidden="false" customHeight="true" outlineLevel="0" collapsed="false">
      <c r="A7" s="34" t="s">
        <v>637</v>
      </c>
      <c r="B7" s="34" t="s">
        <v>638</v>
      </c>
      <c r="W7" s="34"/>
      <c r="X7" s="34"/>
      <c r="Y7" s="34"/>
    </row>
    <row r="8" customFormat="false" ht="12.75" hidden="false" customHeight="true" outlineLevel="0" collapsed="false">
      <c r="A8" s="34" t="s">
        <v>639</v>
      </c>
      <c r="B8" s="34" t="s">
        <v>640</v>
      </c>
      <c r="W8" s="34"/>
      <c r="X8" s="34"/>
      <c r="Y8" s="34"/>
    </row>
    <row r="9" customFormat="false" ht="12.75" hidden="false" customHeight="true" outlineLevel="0" collapsed="false">
      <c r="A9" s="34" t="s">
        <v>641</v>
      </c>
      <c r="B9" s="34" t="s">
        <v>642</v>
      </c>
      <c r="W9" s="34"/>
      <c r="X9" s="34"/>
      <c r="Y9" s="34"/>
    </row>
    <row r="10" customFormat="false" ht="12.75" hidden="false" customHeight="true" outlineLevel="0" collapsed="false">
      <c r="A10" s="34" t="s">
        <v>247</v>
      </c>
      <c r="B10" s="34" t="s">
        <v>643</v>
      </c>
      <c r="W10" s="34"/>
      <c r="X10" s="34"/>
      <c r="Y10" s="34"/>
    </row>
    <row r="11" customFormat="false" ht="12.75" hidden="false" customHeight="true" outlineLevel="0" collapsed="false">
      <c r="A11" s="34" t="s">
        <v>644</v>
      </c>
      <c r="W11" s="34"/>
      <c r="X11" s="34"/>
      <c r="Y11" s="34"/>
    </row>
    <row r="12" customFormat="false" ht="12.75" hidden="false" customHeight="true" outlineLevel="0" collapsed="false">
      <c r="A12" s="34" t="s">
        <v>645</v>
      </c>
      <c r="W12" s="34"/>
      <c r="X12" s="34"/>
      <c r="Y12" s="34"/>
    </row>
    <row r="13" customFormat="false" ht="12.75" hidden="false" customHeight="true" outlineLevel="0" collapsed="false">
      <c r="A13" s="34" t="s">
        <v>442</v>
      </c>
      <c r="B13" s="34" t="s">
        <v>646</v>
      </c>
      <c r="W13" s="34"/>
      <c r="X13" s="34"/>
      <c r="Y13" s="34"/>
    </row>
    <row r="14" customFormat="false" ht="12.75" hidden="false" customHeight="true" outlineLevel="0" collapsed="false">
      <c r="A14" s="34" t="s">
        <v>647</v>
      </c>
      <c r="W14" s="34"/>
      <c r="X14" s="34"/>
      <c r="Y14" s="34"/>
    </row>
    <row r="15" customFormat="false" ht="12.75" hidden="false" customHeight="true" outlineLevel="0" collapsed="false">
      <c r="A15" s="34" t="s">
        <v>197</v>
      </c>
      <c r="W15" s="34"/>
      <c r="X15" s="34"/>
      <c r="Y15" s="34"/>
    </row>
    <row r="16" customFormat="false" ht="12.75" hidden="false" customHeight="true" outlineLevel="0" collapsed="false">
      <c r="A16" s="34" t="s">
        <v>648</v>
      </c>
      <c r="W16" s="34"/>
      <c r="X16" s="34"/>
      <c r="Y16" s="34"/>
    </row>
    <row r="17" customFormat="false" ht="12.75" hidden="false" customHeight="true" outlineLevel="0" collapsed="false">
      <c r="A17" s="34" t="s">
        <v>649</v>
      </c>
      <c r="W17" s="34"/>
      <c r="X17" s="34"/>
      <c r="Y17" s="34"/>
    </row>
    <row r="18" customFormat="false" ht="12.75" hidden="false" customHeight="true" outlineLevel="0" collapsed="false">
      <c r="A18" s="34" t="s">
        <v>650</v>
      </c>
      <c r="W18" s="34"/>
      <c r="X18" s="34"/>
      <c r="Y18" s="34"/>
    </row>
    <row r="19" customFormat="false" ht="12.75" hidden="false" customHeight="true" outlineLevel="0" collapsed="false">
      <c r="A19" s="34" t="s">
        <v>651</v>
      </c>
      <c r="W19" s="34"/>
      <c r="X19" s="34"/>
      <c r="Y19" s="34"/>
    </row>
    <row r="20" customFormat="false" ht="12.75" hidden="false" customHeight="true" outlineLevel="0" collapsed="false">
      <c r="A20" s="34" t="s">
        <v>652</v>
      </c>
      <c r="W20" s="34"/>
      <c r="X20" s="34"/>
      <c r="Y20" s="34"/>
    </row>
    <row r="21" customFormat="false" ht="12.75" hidden="false" customHeight="true" outlineLevel="0" collapsed="false">
      <c r="A21" s="34" t="s">
        <v>653</v>
      </c>
      <c r="B21" s="34" t="s">
        <v>654</v>
      </c>
      <c r="W21" s="34"/>
      <c r="X21" s="34"/>
      <c r="Y21" s="34"/>
    </row>
    <row r="22" customFormat="false" ht="12.75" hidden="false" customHeight="true" outlineLevel="0" collapsed="false">
      <c r="A22" s="34" t="s">
        <v>432</v>
      </c>
      <c r="B22" s="34" t="s">
        <v>655</v>
      </c>
      <c r="W22" s="34"/>
      <c r="X22" s="34"/>
      <c r="Y22" s="34"/>
    </row>
    <row r="23" customFormat="false" ht="12.75" hidden="false" customHeight="true" outlineLevel="0" collapsed="false">
      <c r="A23" s="34" t="s">
        <v>178</v>
      </c>
      <c r="B23" s="34" t="s">
        <v>424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416</v>
      </c>
      <c r="B1" s="61" t="s">
        <v>5</v>
      </c>
      <c r="C1" s="62" t="s">
        <v>417</v>
      </c>
      <c r="W1" s="34"/>
      <c r="X1" s="34"/>
      <c r="Y1" s="34"/>
    </row>
    <row r="2" customFormat="false" ht="12.75" hidden="false" customHeight="true" outlineLevel="0" collapsed="false">
      <c r="A2" s="34" t="s">
        <v>656</v>
      </c>
      <c r="B2" s="34" t="s">
        <v>657</v>
      </c>
      <c r="W2" s="34"/>
      <c r="X2" s="34"/>
      <c r="Y2" s="34"/>
    </row>
    <row r="3" customFormat="false" ht="12.75" hidden="false" customHeight="true" outlineLevel="0" collapsed="false">
      <c r="A3" s="34" t="s">
        <v>658</v>
      </c>
      <c r="W3" s="34"/>
      <c r="X3" s="34"/>
      <c r="Y3" s="34"/>
    </row>
    <row r="4" customFormat="false" ht="12.75" hidden="false" customHeight="true" outlineLevel="0" collapsed="false">
      <c r="A4" s="34" t="s">
        <v>659</v>
      </c>
      <c r="W4" s="34"/>
      <c r="X4" s="34"/>
      <c r="Y4" s="34"/>
    </row>
    <row r="5" customFormat="false" ht="12.75" hidden="false" customHeight="true" outlineLevel="0" collapsed="false">
      <c r="A5" s="34" t="s">
        <v>405</v>
      </c>
      <c r="W5" s="34"/>
      <c r="X5" s="34"/>
      <c r="Y5" s="34"/>
    </row>
    <row r="6" customFormat="false" ht="12.75" hidden="false" customHeight="true" outlineLevel="0" collapsed="false">
      <c r="A6" s="34" t="s">
        <v>432</v>
      </c>
      <c r="B6" s="34" t="s">
        <v>655</v>
      </c>
      <c r="W6" s="34"/>
      <c r="X6" s="34"/>
      <c r="Y6" s="34"/>
    </row>
    <row r="7" customFormat="false" ht="12.75" hidden="false" customHeight="true" outlineLevel="0" collapsed="false">
      <c r="A7" s="34" t="s">
        <v>178</v>
      </c>
      <c r="B7" s="34" t="s">
        <v>424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416</v>
      </c>
      <c r="B1" s="65" t="s">
        <v>5</v>
      </c>
      <c r="C1" s="62" t="s">
        <v>417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660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661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662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663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432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178</v>
      </c>
      <c r="B10" s="34" t="s">
        <v>424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240</v>
      </c>
      <c r="C1" s="62" t="s">
        <v>417</v>
      </c>
    </row>
    <row r="2" customFormat="false" ht="12.75" hidden="false" customHeight="false" outlineLevel="0" collapsed="false">
      <c r="A2" s="34" t="s">
        <v>664</v>
      </c>
    </row>
    <row r="3" customFormat="false" ht="12.75" hidden="false" customHeight="false" outlineLevel="0" collapsed="false">
      <c r="A3" s="34" t="s">
        <v>665</v>
      </c>
    </row>
    <row r="4" customFormat="false" ht="12.75" hidden="false" customHeight="false" outlineLevel="0" collapsed="false">
      <c r="A4" s="34" t="s">
        <v>596</v>
      </c>
    </row>
    <row r="5" customFormat="false" ht="12.75" hidden="false" customHeight="false" outlineLevel="0" collapsed="false">
      <c r="A5" s="34" t="s">
        <v>432</v>
      </c>
    </row>
    <row r="6" customFormat="false" ht="12.75" hidden="false" customHeight="true" outlineLevel="0" collapsed="false">
      <c r="A6" s="34" t="s">
        <v>178</v>
      </c>
      <c r="B6" s="34" t="s">
        <v>424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2026-09-18T11:40:19Z</dcterms:modified>
  <cp:revision>213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